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igu\Documents\_Fordham\_PhD_RESEARCH\bee-project-coding\data\raw\"/>
    </mc:Choice>
  </mc:AlternateContent>
  <xr:revisionPtr revIDLastSave="0" documentId="8_{0E23ACDB-BB2D-4B50-A520-C1AD9D079C63}" xr6:coauthVersionLast="47" xr6:coauthVersionMax="47" xr10:uidLastSave="{00000000-0000-0000-0000-000000000000}"/>
  <bookViews>
    <workbookView xWindow="-110" yWindow="-110" windowWidth="25820" windowHeight="16220" xr2:uid="{A3049918-FE99-449A-9961-CD8F960D0D14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5" i="1" l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</calcChain>
</file>

<file path=xl/sharedStrings.xml><?xml version="1.0" encoding="utf-8"?>
<sst xmlns="http://schemas.openxmlformats.org/spreadsheetml/2006/main" count="114" uniqueCount="22">
  <si>
    <t>Drew</t>
  </si>
  <si>
    <t>net</t>
  </si>
  <si>
    <t>River</t>
  </si>
  <si>
    <t>Hornaday</t>
  </si>
  <si>
    <t>Clayton</t>
  </si>
  <si>
    <t>Luigi</t>
  </si>
  <si>
    <t>ELG</t>
  </si>
  <si>
    <t>Peaceful</t>
  </si>
  <si>
    <t>Lydia</t>
  </si>
  <si>
    <t>Gallo</t>
  </si>
  <si>
    <t>Happiness</t>
  </si>
  <si>
    <t>Oasis</t>
  </si>
  <si>
    <t>BLF</t>
  </si>
  <si>
    <t>Krystal</t>
  </si>
  <si>
    <t>Batey</t>
  </si>
  <si>
    <t>West123</t>
  </si>
  <si>
    <t>site</t>
  </si>
  <si>
    <t>address</t>
  </si>
  <si>
    <t>method</t>
  </si>
  <si>
    <t>date</t>
  </si>
  <si>
    <t>start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</si>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</sst>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"/>
  </numFmts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left"/>
    </xf>
    <xf numFmtId="164" fontId="1" fillId="0" borderId="0" xfId="0" applyNumberFormat="1" applyFont="1" applyFill="1"/>
    <xf numFmtId="18" fontId="1" fillId="0" borderId="0" xfId="0" applyNumberFormat="1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rigu\Documents\_Fordham\_PhD_RESEARCH\bee-project-coding\data\raw\field_collection.xlsx" TargetMode="External"/><Relationship Id="rId1" Type="http://schemas.openxmlformats.org/officeDocument/2006/relationships/externalLinkPath" Target="field_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view"/>
      <sheetName val="collections"/>
      <sheetName val="specimens"/>
      <sheetName val="observations"/>
      <sheetName val="flowers"/>
      <sheetName val="other"/>
      <sheetName val="flower key"/>
      <sheetName val="addre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A1" t="str">
            <v>Site</v>
          </cell>
          <cell r="B1" t="str">
            <v>Address</v>
          </cell>
        </row>
        <row r="2">
          <cell r="A2" t="str">
            <v>BLF</v>
          </cell>
          <cell r="B2" t="str">
            <v>2485 Belmont Ave, Bronx, NY</v>
          </cell>
        </row>
        <row r="3">
          <cell r="A3" t="str">
            <v>Oasis</v>
          </cell>
          <cell r="B3" t="str">
            <v>1981 Lafontaine Ave, Bronx, NY</v>
          </cell>
        </row>
        <row r="4">
          <cell r="A4" t="str">
            <v>River</v>
          </cell>
          <cell r="B4" t="str">
            <v>1086 E 180th St, Bronx, NY</v>
          </cell>
        </row>
        <row r="5">
          <cell r="A5" t="str">
            <v>Happiness</v>
          </cell>
          <cell r="B5" t="str">
            <v>2160 Prospect Avenue</v>
          </cell>
        </row>
        <row r="6">
          <cell r="A6" t="str">
            <v>Drew</v>
          </cell>
          <cell r="B6" t="str">
            <v>1070 E Tremont Ave, Bronx, NY</v>
          </cell>
        </row>
        <row r="7">
          <cell r="A7" t="str">
            <v>Hornaday</v>
          </cell>
          <cell r="B7" t="str">
            <v>851 Hornaday Pl, Bronx, NY</v>
          </cell>
        </row>
        <row r="8">
          <cell r="A8" t="str">
            <v>Batey</v>
          </cell>
          <cell r="B8" t="str">
            <v>504 E 178th St, Bronx, NY</v>
          </cell>
        </row>
        <row r="9">
          <cell r="A9" t="str">
            <v>Krystal</v>
          </cell>
          <cell r="B9" t="str">
            <v>2093 Vyse Ave, Bronx, NY</v>
          </cell>
        </row>
        <row r="10">
          <cell r="A10" t="str">
            <v>Clayton</v>
          </cell>
          <cell r="B10" t="str">
            <v>303 W 126th St, New York, NY</v>
          </cell>
        </row>
        <row r="11">
          <cell r="A11" t="str">
            <v>Peaceful</v>
          </cell>
          <cell r="B11" t="str">
            <v>52 E 117th St, New York, NY</v>
          </cell>
        </row>
        <row r="12">
          <cell r="A12" t="str">
            <v>Gallo</v>
          </cell>
          <cell r="B12" t="str">
            <v>1891 Lexington Ave, New York, NY</v>
          </cell>
        </row>
        <row r="13">
          <cell r="A13" t="str">
            <v>Carrie</v>
          </cell>
          <cell r="B13" t="str">
            <v>145 St. Nicholas Ave, New York, NY</v>
          </cell>
        </row>
        <row r="14">
          <cell r="A14" t="str">
            <v>ELG</v>
          </cell>
          <cell r="B14" t="str">
            <v>237 W 111th St, New York, NY</v>
          </cell>
        </row>
        <row r="15">
          <cell r="A15" t="str">
            <v>Luigi</v>
          </cell>
          <cell r="B15" t="str">
            <v>227 W 115th St, New York, NY</v>
          </cell>
        </row>
        <row r="16">
          <cell r="A16" t="str">
            <v>West123</v>
          </cell>
          <cell r="B16" t="str">
            <v>116 W 123rd St, New York, NY</v>
          </cell>
        </row>
        <row r="17">
          <cell r="A17" t="str">
            <v>Lydia</v>
          </cell>
          <cell r="B17" t="str">
            <v>1665 Park Ave, New York, NY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9D1AF-E203-4D9A-8105-2E299C0109A3}">
  <dimension ref="A1:F973"/>
  <sheetViews>
    <sheetView tabSelected="1" workbookViewId="0">
      <selection activeCell="L17" sqref="L17"/>
    </sheetView>
  </sheetViews>
  <sheetFormatPr defaultRowHeight="14.5" x14ac:dyDescent="0.35"/>
  <cols>
    <col min="1" max="1" width="8.7265625" style="5"/>
    <col min="2" max="2" width="27.6328125" style="5" customWidth="1"/>
    <col min="3" max="4" width="12.6328125" style="5"/>
    <col min="5" max="5" width="8.453125" style="5" customWidth="1"/>
    <col min="6" max="6" width="9.7265625" style="5" customWidth="1"/>
  </cols>
  <sheetData>
    <row r="1" spans="1:6" x14ac:dyDescent="0.35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2" t="s">
        <v>21</v>
      </c>
    </row>
    <row r="2" spans="1:6" x14ac:dyDescent="0.35">
      <c r="A2" s="1" t="s">
        <v>0</v>
      </c>
      <c r="B2" s="1" t="str">
        <f>_xlfn.XLOOKUP(A2,[1]addresses!A:A,[1]addresses!B:B, "n/a")</f>
        <v>1070 E Tremont Ave, Bronx, NY</v>
      </c>
      <c r="C2" s="1" t="s">
        <v>1</v>
      </c>
      <c r="D2" s="3">
        <v>46161</v>
      </c>
      <c r="E2" s="4">
        <v>0.38194444444444442</v>
      </c>
      <c r="F2" s="4">
        <v>0.40277777777777779</v>
      </c>
    </row>
    <row r="3" spans="1:6" x14ac:dyDescent="0.35">
      <c r="A3" s="1" t="s">
        <v>2</v>
      </c>
      <c r="B3" s="1" t="str">
        <f>_xlfn.XLOOKUP(A3,[1]addresses!A:A,[1]addresses!B:B, "n/a")</f>
        <v>1086 E 180th St, Bronx, NY</v>
      </c>
      <c r="C3" s="1" t="s">
        <v>1</v>
      </c>
      <c r="D3" s="3">
        <v>46161</v>
      </c>
      <c r="E3" s="4">
        <v>0.4284722222222222</v>
      </c>
      <c r="F3" s="4">
        <v>0.44930555555555557</v>
      </c>
    </row>
    <row r="4" spans="1:6" x14ac:dyDescent="0.35">
      <c r="A4" s="1" t="s">
        <v>3</v>
      </c>
      <c r="B4" s="1" t="str">
        <f>_xlfn.XLOOKUP(A4,[1]addresses!A:A,[1]addresses!B:B, "n/a")</f>
        <v>851 Hornaday Pl, Bronx, NY</v>
      </c>
      <c r="C4" s="1" t="s">
        <v>1</v>
      </c>
      <c r="D4" s="3">
        <v>46161</v>
      </c>
      <c r="E4" s="4">
        <v>0.46805555555555556</v>
      </c>
      <c r="F4" s="4">
        <v>0.48888888888888887</v>
      </c>
    </row>
    <row r="5" spans="1:6" x14ac:dyDescent="0.35">
      <c r="A5" s="1" t="s">
        <v>0</v>
      </c>
      <c r="B5" s="1" t="str">
        <f>_xlfn.XLOOKUP(A5,[1]addresses!A:A,[1]addresses!B:B, "n/a")</f>
        <v>1070 E Tremont Ave, Bronx, NY</v>
      </c>
      <c r="C5" s="1" t="s">
        <v>1</v>
      </c>
      <c r="D5" s="3">
        <v>46161</v>
      </c>
      <c r="E5" s="4">
        <v>0.55208333333333337</v>
      </c>
      <c r="F5" s="4">
        <v>0.57291666666666663</v>
      </c>
    </row>
    <row r="6" spans="1:6" x14ac:dyDescent="0.35">
      <c r="A6" s="1" t="s">
        <v>2</v>
      </c>
      <c r="B6" s="1" t="str">
        <f>_xlfn.XLOOKUP(A6,[1]addresses!A:A,[1]addresses!B:B, "n/a")</f>
        <v>1086 E 180th St, Bronx, NY</v>
      </c>
      <c r="C6" s="1" t="s">
        <v>1</v>
      </c>
      <c r="D6" s="3">
        <v>46161</v>
      </c>
      <c r="E6" s="4">
        <v>0.58333333333333337</v>
      </c>
      <c r="F6" s="4">
        <v>0.60416666666666663</v>
      </c>
    </row>
    <row r="7" spans="1:6" x14ac:dyDescent="0.35">
      <c r="A7" s="1" t="s">
        <v>3</v>
      </c>
      <c r="B7" s="1" t="str">
        <f>_xlfn.XLOOKUP(A7,[1]addresses!A:A,[1]addresses!B:B, "n/a")</f>
        <v>851 Hornaday Pl, Bronx, NY</v>
      </c>
      <c r="C7" s="1" t="s">
        <v>1</v>
      </c>
      <c r="D7" s="3">
        <v>46161</v>
      </c>
      <c r="E7" s="4">
        <v>0.62083333333333335</v>
      </c>
      <c r="F7" s="4">
        <v>0.64166666666666672</v>
      </c>
    </row>
    <row r="8" spans="1:6" x14ac:dyDescent="0.35">
      <c r="A8" s="1" t="s">
        <v>4</v>
      </c>
      <c r="B8" s="1" t="str">
        <f>_xlfn.XLOOKUP(A8,[1]addresses!A:A,[1]addresses!B:B, "n/a")</f>
        <v>303 W 126th St, New York, NY</v>
      </c>
      <c r="C8" s="1" t="s">
        <v>1</v>
      </c>
      <c r="D8" s="3">
        <v>46175</v>
      </c>
      <c r="E8" s="4">
        <v>0.375</v>
      </c>
      <c r="F8" s="4">
        <v>0.90069444444444446</v>
      </c>
    </row>
    <row r="9" spans="1:6" x14ac:dyDescent="0.35">
      <c r="A9" s="1" t="s">
        <v>5</v>
      </c>
      <c r="B9" s="1" t="str">
        <f>_xlfn.XLOOKUP(A9,[1]addresses!A:A,[1]addresses!B:B, "n/a")</f>
        <v>227 W 115th St, New York, NY</v>
      </c>
      <c r="C9" s="1" t="s">
        <v>1</v>
      </c>
      <c r="D9" s="3">
        <v>46175</v>
      </c>
      <c r="E9" s="4">
        <v>0.42152777777777778</v>
      </c>
      <c r="F9" s="4">
        <v>0.94305555555555554</v>
      </c>
    </row>
    <row r="10" spans="1:6" x14ac:dyDescent="0.35">
      <c r="A10" s="1" t="s">
        <v>6</v>
      </c>
      <c r="B10" s="1" t="str">
        <f>_xlfn.XLOOKUP(A10,[1]addresses!A:A,[1]addresses!B:B, "n/a")</f>
        <v>237 W 111th St, New York, NY</v>
      </c>
      <c r="C10" s="1" t="s">
        <v>1</v>
      </c>
      <c r="D10" s="3">
        <v>46175</v>
      </c>
      <c r="E10" s="4">
        <v>0.45624999999999999</v>
      </c>
      <c r="F10" s="4">
        <v>0.48958333333333331</v>
      </c>
    </row>
    <row r="11" spans="1:6" x14ac:dyDescent="0.35">
      <c r="A11" s="1" t="s">
        <v>4</v>
      </c>
      <c r="B11" s="1" t="str">
        <f>_xlfn.XLOOKUP(A11,[1]addresses!A:A,[1]addresses!B:B, "n/a")</f>
        <v>303 W 126th St, New York, NY</v>
      </c>
      <c r="C11" s="1" t="s">
        <v>1</v>
      </c>
      <c r="D11" s="3">
        <v>46175</v>
      </c>
      <c r="E11" s="4">
        <v>0.55555555555555558</v>
      </c>
      <c r="F11" s="4">
        <v>0.58333333333333337</v>
      </c>
    </row>
    <row r="12" spans="1:6" x14ac:dyDescent="0.35">
      <c r="A12" s="1" t="s">
        <v>5</v>
      </c>
      <c r="B12" s="1" t="str">
        <f>_xlfn.XLOOKUP(A12,[1]addresses!A:A,[1]addresses!B:B, "n/a")</f>
        <v>227 W 115th St, New York, NY</v>
      </c>
      <c r="C12" s="1" t="s">
        <v>1</v>
      </c>
      <c r="D12" s="3">
        <v>46175</v>
      </c>
      <c r="E12" s="4">
        <v>0.60416666666666663</v>
      </c>
      <c r="F12" s="4">
        <v>0.62708333333333333</v>
      </c>
    </row>
    <row r="13" spans="1:6" x14ac:dyDescent="0.35">
      <c r="A13" s="1" t="s">
        <v>6</v>
      </c>
      <c r="B13" s="1" t="str">
        <f>_xlfn.XLOOKUP(A13,[1]addresses!A:A,[1]addresses!B:B, "n/a")</f>
        <v>237 W 111th St, New York, NY</v>
      </c>
      <c r="C13" s="1" t="s">
        <v>1</v>
      </c>
      <c r="D13" s="3">
        <v>46175</v>
      </c>
      <c r="E13" s="4">
        <v>0.6381944444444444</v>
      </c>
      <c r="F13" s="4">
        <v>0.66388888888888886</v>
      </c>
    </row>
    <row r="14" spans="1:6" x14ac:dyDescent="0.35">
      <c r="A14" s="1" t="s">
        <v>10</v>
      </c>
      <c r="B14" s="1" t="str">
        <f>_xlfn.XLOOKUP(A14,[1]addresses!A:A,[1]addresses!B:B, "n/a")</f>
        <v>2160 Prospect Avenue</v>
      </c>
      <c r="C14" s="1" t="s">
        <v>1</v>
      </c>
      <c r="D14" s="3">
        <v>46177</v>
      </c>
      <c r="E14" s="4">
        <v>0.35833333333333334</v>
      </c>
      <c r="F14" s="4">
        <v>0.39166666666666666</v>
      </c>
    </row>
    <row r="15" spans="1:6" x14ac:dyDescent="0.35">
      <c r="A15" s="1" t="s">
        <v>12</v>
      </c>
      <c r="B15" s="1" t="str">
        <f>_xlfn.XLOOKUP(A15,[1]addresses!A:A,[1]addresses!B:B, "n/a")</f>
        <v>2485 Belmont Ave, Bronx, NY</v>
      </c>
      <c r="C15" s="1" t="s">
        <v>1</v>
      </c>
      <c r="D15" s="3">
        <v>46177</v>
      </c>
      <c r="E15" s="4">
        <v>0.41249999999999998</v>
      </c>
      <c r="F15" s="4">
        <v>0.43888888888888888</v>
      </c>
    </row>
    <row r="16" spans="1:6" x14ac:dyDescent="0.35">
      <c r="A16" s="1" t="s">
        <v>11</v>
      </c>
      <c r="B16" s="1" t="str">
        <f>_xlfn.XLOOKUP(A16,[1]addresses!A:A,[1]addresses!B:B, "n/a")</f>
        <v>1981 Lafontaine Ave, Bronx, NY</v>
      </c>
      <c r="C16" s="1" t="s">
        <v>1</v>
      </c>
      <c r="D16" s="3">
        <v>46177</v>
      </c>
      <c r="E16" s="4">
        <v>0.45624999999999999</v>
      </c>
      <c r="F16" s="4">
        <v>0.48194444444444445</v>
      </c>
    </row>
    <row r="17" spans="1:6" x14ac:dyDescent="0.35">
      <c r="A17" s="1" t="s">
        <v>10</v>
      </c>
      <c r="B17" s="1" t="str">
        <f>_xlfn.XLOOKUP(A17,[1]addresses!A:A,[1]addresses!B:B, "n/a")</f>
        <v>2160 Prospect Avenue</v>
      </c>
      <c r="C17" s="1" t="s">
        <v>1</v>
      </c>
      <c r="D17" s="3">
        <v>46177</v>
      </c>
      <c r="E17" s="4">
        <v>0.5180555555555556</v>
      </c>
      <c r="F17" s="4">
        <v>0.54166666666666663</v>
      </c>
    </row>
    <row r="18" spans="1:6" x14ac:dyDescent="0.35">
      <c r="A18" s="1" t="s">
        <v>12</v>
      </c>
      <c r="B18" s="1" t="str">
        <f>_xlfn.XLOOKUP(A18,[1]addresses!A:A,[1]addresses!B:B, "n/a")</f>
        <v>2485 Belmont Ave, Bronx, NY</v>
      </c>
      <c r="C18" s="1" t="s">
        <v>1</v>
      </c>
      <c r="D18" s="3">
        <v>46177</v>
      </c>
      <c r="E18" s="4">
        <v>0.55972222222222223</v>
      </c>
      <c r="F18" s="4">
        <v>0.58472222222222225</v>
      </c>
    </row>
    <row r="19" spans="1:6" x14ac:dyDescent="0.35">
      <c r="A19" s="1" t="s">
        <v>11</v>
      </c>
      <c r="B19" s="1" t="str">
        <f>_xlfn.XLOOKUP(A19,[1]addresses!A:A,[1]addresses!B:B, "n/a")</f>
        <v>1981 Lafontaine Ave, Bronx, NY</v>
      </c>
      <c r="C19" s="1" t="s">
        <v>1</v>
      </c>
      <c r="D19" s="3">
        <v>46177</v>
      </c>
      <c r="E19" s="4">
        <v>0.61111111111111116</v>
      </c>
      <c r="F19" s="4">
        <v>0.63541666666666663</v>
      </c>
    </row>
    <row r="20" spans="1:6" x14ac:dyDescent="0.35">
      <c r="A20" s="1" t="s">
        <v>9</v>
      </c>
      <c r="B20" s="1" t="str">
        <f>_xlfn.XLOOKUP(A20,[1]addresses!A:A,[1]addresses!B:B, "n/a")</f>
        <v>1891 Lexington Ave, New York, NY</v>
      </c>
      <c r="C20" s="1" t="s">
        <v>1</v>
      </c>
      <c r="D20" s="3">
        <v>46181</v>
      </c>
      <c r="E20" s="4">
        <v>0.3923611111111111</v>
      </c>
      <c r="F20" s="4">
        <v>0.4201388888888889</v>
      </c>
    </row>
    <row r="21" spans="1:6" x14ac:dyDescent="0.35">
      <c r="A21" s="1" t="s">
        <v>7</v>
      </c>
      <c r="B21" s="1" t="str">
        <f>_xlfn.XLOOKUP(A21,[1]addresses!A:A,[1]addresses!B:B, "n/a")</f>
        <v>52 E 117th St, New York, NY</v>
      </c>
      <c r="C21" s="1" t="s">
        <v>1</v>
      </c>
      <c r="D21" s="3">
        <v>46181</v>
      </c>
      <c r="E21" s="4">
        <v>0.42291666666666666</v>
      </c>
      <c r="F21" s="4">
        <v>0.44791666666666669</v>
      </c>
    </row>
    <row r="22" spans="1:6" x14ac:dyDescent="0.35">
      <c r="A22" s="1" t="s">
        <v>8</v>
      </c>
      <c r="B22" s="1" t="str">
        <f>_xlfn.XLOOKUP(A22,[1]addresses!A:A,[1]addresses!B:B, "n/a")</f>
        <v>1665 Park Ave, New York, NY</v>
      </c>
      <c r="C22" s="1" t="s">
        <v>1</v>
      </c>
      <c r="D22" s="3">
        <v>46181</v>
      </c>
      <c r="E22" s="4">
        <v>0.45277777777777778</v>
      </c>
      <c r="F22" s="4">
        <v>0.47916666666666669</v>
      </c>
    </row>
    <row r="23" spans="1:6" x14ac:dyDescent="0.35">
      <c r="A23" s="1" t="s">
        <v>9</v>
      </c>
      <c r="B23" s="1" t="str">
        <f>_xlfn.XLOOKUP(A23,[1]addresses!A:A,[1]addresses!B:B, "n/a")</f>
        <v>1891 Lexington Ave, New York, NY</v>
      </c>
      <c r="C23" s="1" t="s">
        <v>1</v>
      </c>
      <c r="D23" s="3">
        <v>46181</v>
      </c>
      <c r="E23" s="4">
        <v>0.52430555555555558</v>
      </c>
      <c r="F23" s="4">
        <v>0.54861111111111116</v>
      </c>
    </row>
    <row r="24" spans="1:6" x14ac:dyDescent="0.35">
      <c r="A24" s="1" t="s">
        <v>7</v>
      </c>
      <c r="B24" s="1" t="str">
        <f>_xlfn.XLOOKUP(A24,[1]addresses!A:A,[1]addresses!B:B, "n/a")</f>
        <v>52 E 117th St, New York, NY</v>
      </c>
      <c r="C24" s="1" t="s">
        <v>1</v>
      </c>
      <c r="D24" s="3">
        <v>46181</v>
      </c>
      <c r="E24" s="4">
        <v>0.55902777777777779</v>
      </c>
      <c r="F24" s="4">
        <v>0.58333333333333337</v>
      </c>
    </row>
    <row r="25" spans="1:6" x14ac:dyDescent="0.35">
      <c r="A25" s="1" t="s">
        <v>8</v>
      </c>
      <c r="B25" s="1" t="str">
        <f>_xlfn.XLOOKUP(A25,[1]addresses!A:A,[1]addresses!B:B, "n/a")</f>
        <v>1665 Park Ave, New York, NY</v>
      </c>
      <c r="C25" s="1" t="s">
        <v>1</v>
      </c>
      <c r="D25" s="3">
        <v>46181</v>
      </c>
      <c r="E25" s="4">
        <v>0.58888888888888891</v>
      </c>
      <c r="F25" s="4">
        <v>0.61250000000000004</v>
      </c>
    </row>
    <row r="26" spans="1:6" x14ac:dyDescent="0.35">
      <c r="A26" s="1" t="s">
        <v>2</v>
      </c>
      <c r="B26" s="1" t="str">
        <f>_xlfn.XLOOKUP(A26,[1]addresses!A:A,[1]addresses!B:B, "n/a")</f>
        <v>1086 E 180th St, Bronx, NY</v>
      </c>
      <c r="C26" s="1" t="s">
        <v>1</v>
      </c>
      <c r="D26" s="3">
        <v>46197</v>
      </c>
      <c r="E26" s="4">
        <v>0.3923611111111111</v>
      </c>
      <c r="F26" s="4">
        <v>0.41666666666666669</v>
      </c>
    </row>
    <row r="27" spans="1:6" x14ac:dyDescent="0.35">
      <c r="A27" s="1" t="s">
        <v>3</v>
      </c>
      <c r="B27" s="1" t="str">
        <f>_xlfn.XLOOKUP(A27,[1]addresses!A:A,[1]addresses!B:B, "n/a")</f>
        <v>851 Hornaday Pl, Bronx, NY</v>
      </c>
      <c r="C27" s="1" t="s">
        <v>1</v>
      </c>
      <c r="D27" s="3">
        <v>46197</v>
      </c>
      <c r="E27" s="4">
        <v>0.43402777777777779</v>
      </c>
      <c r="F27" s="4">
        <v>0.4597222222222222</v>
      </c>
    </row>
    <row r="28" spans="1:6" x14ac:dyDescent="0.35">
      <c r="A28" s="1" t="s">
        <v>13</v>
      </c>
      <c r="B28" s="1" t="str">
        <f>_xlfn.XLOOKUP(A28,[1]addresses!A:A,[1]addresses!B:B, "n/a")</f>
        <v>2093 Vyse Ave, Bronx, NY</v>
      </c>
      <c r="C28" s="1" t="s">
        <v>1</v>
      </c>
      <c r="D28" s="3">
        <v>46197</v>
      </c>
      <c r="E28" s="4">
        <v>0.49305555555555558</v>
      </c>
      <c r="F28" s="4">
        <v>0.52083333333333337</v>
      </c>
    </row>
    <row r="29" spans="1:6" x14ac:dyDescent="0.35">
      <c r="A29" s="1" t="s">
        <v>2</v>
      </c>
      <c r="B29" s="1" t="str">
        <f>_xlfn.XLOOKUP(A29,[1]addresses!A:A,[1]addresses!B:B, "n/a")</f>
        <v>1086 E 180th St, Bronx, NY</v>
      </c>
      <c r="C29" s="1" t="s">
        <v>1</v>
      </c>
      <c r="D29" s="3">
        <v>46197</v>
      </c>
      <c r="E29" s="4">
        <v>0.54236111111111107</v>
      </c>
      <c r="F29" s="4">
        <v>0.56666666666666665</v>
      </c>
    </row>
    <row r="30" spans="1:6" x14ac:dyDescent="0.35">
      <c r="A30" s="1" t="s">
        <v>3</v>
      </c>
      <c r="B30" s="1" t="str">
        <f>_xlfn.XLOOKUP(A30,[1]addresses!A:A,[1]addresses!B:B, "n/a")</f>
        <v>851 Hornaday Pl, Bronx, NY</v>
      </c>
      <c r="C30" s="1" t="s">
        <v>1</v>
      </c>
      <c r="D30" s="3">
        <v>46197</v>
      </c>
      <c r="E30" s="4">
        <v>0.59027777777777779</v>
      </c>
      <c r="F30" s="4">
        <v>0.61111111111111116</v>
      </c>
    </row>
    <row r="31" spans="1:6" x14ac:dyDescent="0.35">
      <c r="A31" s="1" t="s">
        <v>13</v>
      </c>
      <c r="B31" s="1" t="str">
        <f>_xlfn.XLOOKUP(A31,[1]addresses!A:A,[1]addresses!B:B, "n/a")</f>
        <v>2093 Vyse Ave, Bronx, NY</v>
      </c>
      <c r="C31" s="1" t="s">
        <v>1</v>
      </c>
      <c r="D31" s="3">
        <v>46197</v>
      </c>
      <c r="E31" s="4">
        <v>0.6166666666666667</v>
      </c>
      <c r="F31" s="4">
        <v>0.64444444444444449</v>
      </c>
    </row>
    <row r="32" spans="1:6" x14ac:dyDescent="0.35">
      <c r="A32" s="1" t="s">
        <v>14</v>
      </c>
      <c r="B32" s="1" t="str">
        <f>_xlfn.XLOOKUP(A32,[1]addresses!A:A,[1]addresses!B:B, "n/a")</f>
        <v>504 E 178th St, Bronx, NY</v>
      </c>
      <c r="C32" s="1" t="s">
        <v>1</v>
      </c>
      <c r="D32" s="3">
        <v>46198</v>
      </c>
      <c r="E32" s="4">
        <v>0.34375</v>
      </c>
      <c r="F32" s="4">
        <v>0.36875000000000002</v>
      </c>
    </row>
    <row r="33" spans="1:6" x14ac:dyDescent="0.35">
      <c r="A33" s="1" t="s">
        <v>11</v>
      </c>
      <c r="B33" s="1" t="str">
        <f>_xlfn.XLOOKUP(A33,[1]addresses!A:A,[1]addresses!B:B, "n/a")</f>
        <v>1981 Lafontaine Ave, Bronx, NY</v>
      </c>
      <c r="C33" s="1" t="s">
        <v>1</v>
      </c>
      <c r="D33" s="3">
        <v>46198</v>
      </c>
      <c r="E33" s="4">
        <v>0.37152777777777779</v>
      </c>
      <c r="F33" s="4">
        <v>0.3972222222222222</v>
      </c>
    </row>
    <row r="34" spans="1:6" x14ac:dyDescent="0.35">
      <c r="A34" s="1" t="s">
        <v>10</v>
      </c>
      <c r="B34" s="1" t="str">
        <f>_xlfn.XLOOKUP(A34,[1]addresses!A:A,[1]addresses!B:B, "n/a")</f>
        <v>2160 Prospect Avenue</v>
      </c>
      <c r="C34" s="1" t="s">
        <v>1</v>
      </c>
      <c r="D34" s="3">
        <v>46198</v>
      </c>
      <c r="E34" s="4">
        <v>0.40972222222222221</v>
      </c>
      <c r="F34" s="4">
        <v>0.43402777777777779</v>
      </c>
    </row>
    <row r="35" spans="1:6" x14ac:dyDescent="0.35">
      <c r="A35" s="1" t="s">
        <v>14</v>
      </c>
      <c r="B35" s="1" t="str">
        <f>_xlfn.XLOOKUP(A35,[1]addresses!A:A,[1]addresses!B:B, "n/a")</f>
        <v>504 E 178th St, Bronx, NY</v>
      </c>
      <c r="C35" s="1" t="s">
        <v>1</v>
      </c>
      <c r="D35" s="3">
        <v>46198</v>
      </c>
      <c r="E35" s="4">
        <v>0.49305555555555558</v>
      </c>
      <c r="F35" s="4">
        <v>0.51875000000000004</v>
      </c>
    </row>
    <row r="36" spans="1:6" x14ac:dyDescent="0.35">
      <c r="A36" s="1" t="s">
        <v>11</v>
      </c>
      <c r="B36" s="1" t="str">
        <f>_xlfn.XLOOKUP(A36,[1]addresses!A:A,[1]addresses!B:B, "n/a")</f>
        <v>1981 Lafontaine Ave, Bronx, NY</v>
      </c>
      <c r="C36" s="1" t="s">
        <v>1</v>
      </c>
      <c r="D36" s="3">
        <v>46198</v>
      </c>
      <c r="E36" s="4">
        <v>0.53819444444444442</v>
      </c>
      <c r="F36" s="4">
        <v>0.5625</v>
      </c>
    </row>
    <row r="37" spans="1:6" x14ac:dyDescent="0.35">
      <c r="A37" s="1" t="s">
        <v>10</v>
      </c>
      <c r="B37" s="1" t="str">
        <f>_xlfn.XLOOKUP(A37,[1]addresses!A:A,[1]addresses!B:B, "n/a")</f>
        <v>2160 Prospect Avenue</v>
      </c>
      <c r="C37" s="1" t="s">
        <v>1</v>
      </c>
      <c r="D37" s="3">
        <v>46198</v>
      </c>
      <c r="E37" s="4">
        <v>0.57291666666666663</v>
      </c>
      <c r="F37" s="4">
        <v>0.59722222222222221</v>
      </c>
    </row>
    <row r="38" spans="1:6" x14ac:dyDescent="0.35">
      <c r="A38" s="1" t="s">
        <v>15</v>
      </c>
      <c r="B38" s="1" t="str">
        <f>_xlfn.XLOOKUP(A38,[1]addresses!A:A,[1]addresses!B:B, "n/a")</f>
        <v>116 W 123rd St, New York, NY</v>
      </c>
      <c r="C38" s="1" t="s">
        <v>1</v>
      </c>
      <c r="D38" s="3">
        <v>46203</v>
      </c>
      <c r="E38" s="4">
        <v>0.3923611111111111</v>
      </c>
      <c r="F38" s="4">
        <v>0.41666666666666669</v>
      </c>
    </row>
    <row r="39" spans="1:6" x14ac:dyDescent="0.35">
      <c r="A39" s="1" t="s">
        <v>6</v>
      </c>
      <c r="B39" s="1" t="str">
        <f>_xlfn.XLOOKUP(A39,[1]addresses!A:A,[1]addresses!B:B, "n/a")</f>
        <v>237 W 111th St, New York, NY</v>
      </c>
      <c r="C39" s="1" t="s">
        <v>1</v>
      </c>
      <c r="D39" s="3">
        <v>46203</v>
      </c>
      <c r="E39" s="4">
        <v>0.43541666666666667</v>
      </c>
      <c r="F39" s="4">
        <v>0.46041666666666664</v>
      </c>
    </row>
    <row r="40" spans="1:6" x14ac:dyDescent="0.35">
      <c r="A40" s="1" t="s">
        <v>4</v>
      </c>
      <c r="B40" s="1" t="str">
        <f>_xlfn.XLOOKUP(A40,[1]addresses!A:A,[1]addresses!B:B, "n/a")</f>
        <v>303 W 126th St, New York, NY</v>
      </c>
      <c r="C40" s="1" t="s">
        <v>1</v>
      </c>
      <c r="D40" s="3">
        <v>46203</v>
      </c>
      <c r="E40" s="4">
        <v>0.47638888888888886</v>
      </c>
      <c r="F40" s="4">
        <v>0.50138888888888888</v>
      </c>
    </row>
    <row r="41" spans="1:6" x14ac:dyDescent="0.35">
      <c r="A41" s="1" t="s">
        <v>15</v>
      </c>
      <c r="B41" s="1" t="str">
        <f>_xlfn.XLOOKUP(A41,[1]addresses!A:A,[1]addresses!B:B, "n/a")</f>
        <v>116 W 123rd St, New York, NY</v>
      </c>
      <c r="C41" s="1" t="s">
        <v>1</v>
      </c>
      <c r="D41" s="3">
        <v>46203</v>
      </c>
      <c r="E41" s="4">
        <v>0.55902777777777779</v>
      </c>
      <c r="F41" s="4">
        <v>0.58333333333333337</v>
      </c>
    </row>
    <row r="42" spans="1:6" x14ac:dyDescent="0.35">
      <c r="A42" s="1" t="s">
        <v>6</v>
      </c>
      <c r="B42" s="1" t="str">
        <f>_xlfn.XLOOKUP(A42,[1]addresses!A:A,[1]addresses!B:B, "n/a")</f>
        <v>237 W 111th St, New York, NY</v>
      </c>
      <c r="C42" s="1" t="s">
        <v>1</v>
      </c>
      <c r="D42" s="3">
        <v>46203</v>
      </c>
      <c r="E42" s="4">
        <v>0.60763888888888884</v>
      </c>
      <c r="F42" s="4">
        <v>0.63541666666666663</v>
      </c>
    </row>
    <row r="43" spans="1:6" x14ac:dyDescent="0.35">
      <c r="A43" s="1" t="s">
        <v>4</v>
      </c>
      <c r="B43" s="1" t="str">
        <f>_xlfn.XLOOKUP(A43,[1]addresses!A:A,[1]addresses!B:B, "n/a")</f>
        <v>303 W 126th St, New York, NY</v>
      </c>
      <c r="C43" s="1" t="s">
        <v>1</v>
      </c>
      <c r="D43" s="3">
        <v>46203</v>
      </c>
      <c r="E43" s="4">
        <v>0.67708333333333337</v>
      </c>
      <c r="F43" s="4">
        <v>0.69791666666666663</v>
      </c>
    </row>
    <row r="44" spans="1:6" x14ac:dyDescent="0.35">
      <c r="A44" s="1" t="s">
        <v>5</v>
      </c>
      <c r="B44" s="1" t="str">
        <f>_xlfn.XLOOKUP(A44,[1]addresses!A:A,[1]addresses!B:B, "n/a")</f>
        <v>227 W 115th St, New York, NY</v>
      </c>
      <c r="C44" s="1" t="s">
        <v>1</v>
      </c>
      <c r="D44" s="3">
        <v>46211</v>
      </c>
      <c r="E44" s="4">
        <v>0.35833333333333334</v>
      </c>
      <c r="F44" s="4">
        <v>0.38194444444444442</v>
      </c>
    </row>
    <row r="45" spans="1:6" x14ac:dyDescent="0.35">
      <c r="A45" s="1" t="s">
        <v>7</v>
      </c>
      <c r="B45" s="1" t="str">
        <f>_xlfn.XLOOKUP(A45,[1]addresses!A:A,[1]addresses!B:B, "n/a")</f>
        <v>52 E 117th St, New York, NY</v>
      </c>
      <c r="C45" s="1" t="s">
        <v>1</v>
      </c>
      <c r="D45" s="3">
        <v>46211</v>
      </c>
      <c r="E45" s="4">
        <v>0.39583333333333331</v>
      </c>
      <c r="F45" s="4">
        <v>0.41736111111111113</v>
      </c>
    </row>
    <row r="46" spans="1:6" x14ac:dyDescent="0.35">
      <c r="A46" s="1" t="s">
        <v>8</v>
      </c>
      <c r="B46" s="1" t="str">
        <f>_xlfn.XLOOKUP(A46,[1]addresses!A:A,[1]addresses!B:B, "n/a")</f>
        <v>1665 Park Ave, New York, NY</v>
      </c>
      <c r="C46" s="1" t="s">
        <v>1</v>
      </c>
      <c r="D46" s="3">
        <v>46211</v>
      </c>
      <c r="E46" s="4">
        <v>0.42152777777777778</v>
      </c>
      <c r="F46" s="4">
        <v>0.4465277777777778</v>
      </c>
    </row>
    <row r="47" spans="1:6" x14ac:dyDescent="0.35">
      <c r="A47" s="1" t="s">
        <v>9</v>
      </c>
      <c r="B47" s="1" t="str">
        <f>_xlfn.XLOOKUP(A47,[1]addresses!A:A,[1]addresses!B:B, "n/a")</f>
        <v>1891 Lexington Ave, New York, NY</v>
      </c>
      <c r="C47" s="1" t="s">
        <v>1</v>
      </c>
      <c r="D47" s="3">
        <v>46211</v>
      </c>
      <c r="E47" s="4">
        <v>0.4548611111111111</v>
      </c>
      <c r="F47" s="4">
        <v>0.47916666666666669</v>
      </c>
    </row>
    <row r="48" spans="1:6" x14ac:dyDescent="0.35">
      <c r="A48" s="1" t="s">
        <v>7</v>
      </c>
      <c r="B48" s="1" t="str">
        <f>_xlfn.XLOOKUP(A48,[1]addresses!A:A,[1]addresses!B:B, "n/a")</f>
        <v>52 E 117th St, New York, NY</v>
      </c>
      <c r="C48" s="1" t="s">
        <v>1</v>
      </c>
      <c r="D48" s="3">
        <v>46211</v>
      </c>
      <c r="E48" s="4">
        <v>0.5131944444444444</v>
      </c>
      <c r="F48" s="4">
        <v>0.53819444444444442</v>
      </c>
    </row>
    <row r="49" spans="1:6" x14ac:dyDescent="0.35">
      <c r="A49" s="1" t="s">
        <v>8</v>
      </c>
      <c r="B49" s="1" t="str">
        <f>_xlfn.XLOOKUP(A49,[1]addresses!A:A,[1]addresses!B:B, "n/a")</f>
        <v>1665 Park Ave, New York, NY</v>
      </c>
      <c r="C49" s="1" t="s">
        <v>1</v>
      </c>
      <c r="D49" s="3">
        <v>46211</v>
      </c>
      <c r="E49" s="4">
        <v>0.57291666666666663</v>
      </c>
      <c r="F49" s="4">
        <v>0.6</v>
      </c>
    </row>
    <row r="50" spans="1:6" x14ac:dyDescent="0.35">
      <c r="A50" s="1" t="s">
        <v>9</v>
      </c>
      <c r="B50" s="1" t="str">
        <f>_xlfn.XLOOKUP(A50,[1]addresses!A:A,[1]addresses!B:B, "n/a")</f>
        <v>1891 Lexington Ave, New York, NY</v>
      </c>
      <c r="C50" s="1" t="s">
        <v>1</v>
      </c>
      <c r="D50" s="3">
        <v>46211</v>
      </c>
      <c r="E50" s="4">
        <v>0.6069444444444444</v>
      </c>
      <c r="F50" s="4">
        <v>0.64861111111111114</v>
      </c>
    </row>
    <row r="51" spans="1:6" x14ac:dyDescent="0.35">
      <c r="A51" s="1" t="s">
        <v>5</v>
      </c>
      <c r="B51" s="1" t="str">
        <f>_xlfn.XLOOKUP(A51,[1]addresses!A:A,[1]addresses!B:B, "n/a")</f>
        <v>227 W 115th St, New York, NY</v>
      </c>
      <c r="C51" s="1" t="s">
        <v>1</v>
      </c>
      <c r="D51" s="3">
        <v>46211</v>
      </c>
      <c r="E51" s="4">
        <v>0.64236111111111116</v>
      </c>
      <c r="F51" s="4">
        <v>0.66666666666666663</v>
      </c>
    </row>
    <row r="52" spans="1:6" x14ac:dyDescent="0.35">
      <c r="A52" s="1" t="s">
        <v>0</v>
      </c>
      <c r="B52" s="1" t="str">
        <f>_xlfn.XLOOKUP(A52,[1]addresses!A:A,[1]addresses!B:B, "n/a")</f>
        <v>1070 E Tremont Ave, Bronx, NY</v>
      </c>
      <c r="C52" s="1" t="s">
        <v>1</v>
      </c>
      <c r="D52" s="3">
        <v>13340</v>
      </c>
      <c r="E52" s="4">
        <v>0.43055555555555558</v>
      </c>
      <c r="F52" s="4">
        <v>0.45833333333333331</v>
      </c>
    </row>
    <row r="53" spans="1:6" x14ac:dyDescent="0.35">
      <c r="A53" s="1" t="s">
        <v>0</v>
      </c>
      <c r="B53" s="1" t="str">
        <f>_xlfn.XLOOKUP(A53,[1]addresses!A:A,[1]addresses!B:B, "n/a")</f>
        <v>1070 E Tremont Ave, Bronx, NY</v>
      </c>
      <c r="C53" s="1" t="s">
        <v>1</v>
      </c>
      <c r="D53" s="3">
        <v>46212</v>
      </c>
      <c r="E53" s="4">
        <v>0.56805555555555554</v>
      </c>
      <c r="F53" s="4">
        <v>0.59027777777777779</v>
      </c>
    </row>
    <row r="54" spans="1:6" x14ac:dyDescent="0.35">
      <c r="A54" s="1" t="s">
        <v>12</v>
      </c>
      <c r="B54" s="1" t="str">
        <f>_xlfn.XLOOKUP(A54,[1]addresses!A:A,[1]addresses!B:B, "n/a")</f>
        <v>2485 Belmont Ave, Bronx, NY</v>
      </c>
      <c r="C54" s="1" t="s">
        <v>1</v>
      </c>
      <c r="D54" s="3">
        <v>46213</v>
      </c>
      <c r="E54" s="4">
        <v>0.34930555555555554</v>
      </c>
      <c r="F54" s="4">
        <v>0.87430555555555556</v>
      </c>
    </row>
    <row r="55" spans="1:6" x14ac:dyDescent="0.35">
      <c r="A55" s="1" t="s">
        <v>12</v>
      </c>
      <c r="B55" s="1" t="str">
        <f>_xlfn.XLOOKUP(A55,[1]addresses!A:A,[1]addresses!B:B, "n/a")</f>
        <v>2485 Belmont Ave, Bronx, NY</v>
      </c>
      <c r="C55" s="1" t="s">
        <v>1</v>
      </c>
      <c r="D55" s="3">
        <v>46213</v>
      </c>
      <c r="E55" s="1"/>
      <c r="F55" s="1"/>
    </row>
    <row r="973" spans="4:4" x14ac:dyDescent="0.35">
      <c r="D973" s="3">
        <v>46161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Saville</dc:creator>
  <cp:lastModifiedBy>Brian Saville</cp:lastModifiedBy>
  <dcterms:created xsi:type="dcterms:W3CDTF">2026-07-15T16:43:16Z</dcterms:created>
  <dcterms:modified xsi:type="dcterms:W3CDTF">2026-07-15T16:45:12Z</dcterms:modified>
</cp:coreProperties>
</file>