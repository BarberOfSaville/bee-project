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collections" sheetId="2" r:id="rId6"/>
    <sheet state="visible" name="specimens" sheetId="3" r:id="rId7"/>
    <sheet state="visible" name="observations" sheetId="4" r:id="rId8"/>
    <sheet state="visible" name="flowers" sheetId="5" r:id="rId9"/>
    <sheet state="visible" name="other" sheetId="6" r:id="rId10"/>
    <sheet state="visible" name="flower key" sheetId="7" r:id="rId11"/>
    <sheet state="visible" name="addresses" sheetId="8" r:id="rId12"/>
  </sheets>
  <definedNames/>
  <calcPr/>
</workbook>
</file>

<file path=xl/sharedStrings.xml><?xml version="1.0" encoding="utf-8"?>
<sst xmlns="http://schemas.openxmlformats.org/spreadsheetml/2006/main" count="3237" uniqueCount="1031">
  <si>
    <t>TOTAL BEES</t>
  </si>
  <si>
    <t>Bees caught</t>
  </si>
  <si>
    <t>Flower Species</t>
  </si>
  <si>
    <t>Bees observed</t>
  </si>
  <si>
    <t>Bird Species</t>
  </si>
  <si>
    <t>GARDEN</t>
  </si>
  <si>
    <t>BEES FROM SITE</t>
  </si>
  <si>
    <t>Clayton</t>
  </si>
  <si>
    <t>CWG</t>
  </si>
  <si>
    <t>Luigi</t>
  </si>
  <si>
    <t>LGL</t>
  </si>
  <si>
    <t>ELG</t>
  </si>
  <si>
    <t>PV</t>
  </si>
  <si>
    <t>PVG</t>
  </si>
  <si>
    <t>Lydia</t>
  </si>
  <si>
    <t>LMG</t>
  </si>
  <si>
    <t>Gallo</t>
  </si>
  <si>
    <t>OEG</t>
  </si>
  <si>
    <t>Drew</t>
  </si>
  <si>
    <t>DRE</t>
  </si>
  <si>
    <t>River</t>
  </si>
  <si>
    <t>BXR</t>
  </si>
  <si>
    <t>Hornaday</t>
  </si>
  <si>
    <t>HOR</t>
  </si>
  <si>
    <t>Happiness</t>
  </si>
  <si>
    <t>GOH</t>
  </si>
  <si>
    <t>Oasis</t>
  </si>
  <si>
    <t>OAS</t>
  </si>
  <si>
    <t>BLF</t>
  </si>
  <si>
    <t>Batey</t>
  </si>
  <si>
    <t>BAT</t>
  </si>
  <si>
    <t>West123</t>
  </si>
  <si>
    <t>Cook</t>
  </si>
  <si>
    <t>COOK</t>
  </si>
  <si>
    <t>Carrie</t>
  </si>
  <si>
    <t>CMC</t>
  </si>
  <si>
    <t>Site</t>
  </si>
  <si>
    <t>Address</t>
  </si>
  <si>
    <t>Method</t>
  </si>
  <si>
    <t>Date Collected</t>
  </si>
  <si>
    <t>Time 1</t>
  </si>
  <si>
    <t>Time 2</t>
  </si>
  <si>
    <t>Notes</t>
  </si>
  <si>
    <t>net</t>
  </si>
  <si>
    <t>bowl</t>
  </si>
  <si>
    <t>Peaceful</t>
  </si>
  <si>
    <t>sick baby rat. Mistaken for Tom. Several dead rats next day</t>
  </si>
  <si>
    <t xml:space="preserve">met Alicia. </t>
  </si>
  <si>
    <t>friendly cat. Lady who wanted Roses. Other woman who wanted to come in</t>
  </si>
  <si>
    <t>friendly ducks and goose family</t>
  </si>
  <si>
    <t>crazy ant colony</t>
  </si>
  <si>
    <t>kitten and boy who wanted a flower</t>
  </si>
  <si>
    <t>chickens being picked off by raccoon, they say? Told to watch "The Beekeeper"</t>
  </si>
  <si>
    <t>woman gawking at cherry tree. Guy peeing on sidewalk</t>
  </si>
  <si>
    <t>saw a ground-nesting bee dig into soil in a raised bed!</t>
  </si>
  <si>
    <t>talked to Meredith. Saw cute baby blue jay</t>
  </si>
  <si>
    <t>Marva present</t>
  </si>
  <si>
    <t>on bus, heckled by a man for being white. "You're in the wrong neighborhood. You've got five boroughs". Black man with MAGA hat. Said that Trump was black (?) and disparaged Mamdani. Would've been frightened if he was not in a wheelchair. Experience at the garden itself was lovely. Used Google translate to help talk to members. A child, Andres, "helped me" with catching bees (but I was a good sport about it!)</t>
  </si>
  <si>
    <t>We're in! Used translate to speak with Aida. I'm free to come by whenever the garden is open.</t>
  </si>
  <si>
    <t>Present for a shipment of mulch/soil (from GreenThumb?)</t>
  </si>
  <si>
    <t>Talked to Winston, the beekeeper.</t>
  </si>
  <si>
    <t>helped Alicia measure the pollinator garden</t>
  </si>
  <si>
    <t>met Eddie, a member.</t>
  </si>
  <si>
    <t>not a single bee- all shaded at this time</t>
  </si>
  <si>
    <t>field assistant Xiaonan with me.</t>
  </si>
  <si>
    <t>Krystal</t>
  </si>
  <si>
    <t>backup plan after Drew gate was locked.</t>
  </si>
  <si>
    <t>spoke with Fordham alum Angelica</t>
  </si>
  <si>
    <t>spoke with Jessie</t>
  </si>
  <si>
    <t>spoke with Philip</t>
  </si>
  <si>
    <t>collected 2 days after, not the next day (Due to scheduling). Complained about raccoons eating their crops</t>
  </si>
  <si>
    <t>told story of trespasser, GreenThumb woes. Why the lock was changed</t>
  </si>
  <si>
    <t>shed robbed</t>
  </si>
  <si>
    <t>having BBQ, new guineafowl</t>
  </si>
  <si>
    <t>Marva present. Another member (name?) Kept giving me treats from the garden</t>
  </si>
  <si>
    <t>spoke to Chloe and partner about greivances with garden management.</t>
  </si>
  <si>
    <t>WFUV reporters there to feature me. Also spoke to Lisi</t>
  </si>
  <si>
    <t>met Ginger, who opened the garden for open hours.</t>
  </si>
  <si>
    <t>Met Helene and daughter Talia. Pet Garfield for the first time</t>
  </si>
  <si>
    <t>open hours. Some community members there</t>
  </si>
  <si>
    <t>met Ivette IRL for the first time.</t>
  </si>
  <si>
    <t>Cloudy. Looked like rain, but it never came</t>
  </si>
  <si>
    <t>No.</t>
  </si>
  <si>
    <t>ID</t>
  </si>
  <si>
    <t>Status?</t>
  </si>
  <si>
    <t>Tube Size</t>
  </si>
  <si>
    <t>Box Row</t>
  </si>
  <si>
    <t>Box Col</t>
  </si>
  <si>
    <t>Temp ID</t>
  </si>
  <si>
    <t>Date Deployed</t>
  </si>
  <si>
    <t>Time Deployed</t>
  </si>
  <si>
    <t>Time Collected</t>
  </si>
  <si>
    <t># of Bees</t>
  </si>
  <si>
    <t>Plant</t>
  </si>
  <si>
    <t>Description</t>
  </si>
  <si>
    <t>Status</t>
  </si>
  <si>
    <t>5-19-26-DREW-NET-AM-1</t>
  </si>
  <si>
    <t>pinned</t>
  </si>
  <si>
    <t>small</t>
  </si>
  <si>
    <t>A</t>
  </si>
  <si>
    <t>n/a</t>
  </si>
  <si>
    <t>Brassica sp.</t>
  </si>
  <si>
    <t>5-19-26-DREW-NET-AM-2</t>
  </si>
  <si>
    <t>5-19-26-DREW-NET-AM-3</t>
  </si>
  <si>
    <t>5-19-26-RIVER-NET-AM-1</t>
  </si>
  <si>
    <t>5-19-26-RIVER-NET-AM-2</t>
  </si>
  <si>
    <t>5-19-26-RIVER-NET-AM-3</t>
  </si>
  <si>
    <t>5-19-26-HORN-NET-AM-1</t>
  </si>
  <si>
    <t>large</t>
  </si>
  <si>
    <t>Iris sp.</t>
  </si>
  <si>
    <t>doesn't fit in the small box.</t>
  </si>
  <si>
    <t>5-19-26-HORN-NET-AM-2</t>
  </si>
  <si>
    <t>Nepata racemosa</t>
  </si>
  <si>
    <t>Apis and shiny little blue thing</t>
  </si>
  <si>
    <t>5-19-26-DREW-NET-PM-1</t>
  </si>
  <si>
    <t>Allium schoenoprasum</t>
  </si>
  <si>
    <t>5-19-26-DREW-NET-PM-2</t>
  </si>
  <si>
    <t>5-19-26-RIVER-NET-PM-1</t>
  </si>
  <si>
    <t xml:space="preserve">River </t>
  </si>
  <si>
    <t>Ruta gravolens</t>
  </si>
  <si>
    <t>medium bee</t>
  </si>
  <si>
    <t>5-28-26-CLAYTON-BOWL-BEE</t>
  </si>
  <si>
    <t>5-28-26-LUIGI-BOWL-BEE</t>
  </si>
  <si>
    <t>5-28-26-ELG-BOWL-BEE</t>
  </si>
  <si>
    <t>B</t>
  </si>
  <si>
    <t>5-28-26-LYDIA-BOWL-BEE</t>
  </si>
  <si>
    <t>5-28-26-GALLO-BOWL-BEE</t>
  </si>
  <si>
    <t>5-28-26-DREW-BOWL-BEE</t>
  </si>
  <si>
    <t>5-28-26-HORN-BOWL-BEE</t>
  </si>
  <si>
    <t>5-28-26-HAPPY-BOWL-BEE</t>
  </si>
  <si>
    <t>6-2-26-CLAYTON-NET-AM-1</t>
  </si>
  <si>
    <t>Coriandrum sativum</t>
  </si>
  <si>
    <t>6-2-26-CLAYTON-NET-AM-2</t>
  </si>
  <si>
    <t>Centaurea cyanus</t>
  </si>
  <si>
    <t>6-2-26-CLAYTON-NET-AM-3</t>
  </si>
  <si>
    <t>6-2-26-CLAYTON-NET-AM-4</t>
  </si>
  <si>
    <t>6-2-26-LUIGI-NET-AM-1</t>
  </si>
  <si>
    <t>Rosa sp.</t>
  </si>
  <si>
    <t>6-2-26-ELG-AM-2</t>
  </si>
  <si>
    <t>Rubus occidentalis</t>
  </si>
  <si>
    <t>ELG-AM-1 skipped by mistake</t>
  </si>
  <si>
    <t>6-2-26-ELG-AM-3</t>
  </si>
  <si>
    <t>C</t>
  </si>
  <si>
    <t>Brassica rapa</t>
  </si>
  <si>
    <t>6-2-26-ELG-AM-4</t>
  </si>
  <si>
    <t>6-2-26-ELG-AM-5</t>
  </si>
  <si>
    <t>Allium giganteum</t>
  </si>
  <si>
    <t>6-2-26-ELG-AM-6</t>
  </si>
  <si>
    <t>6-2-26-CLAYTON-NET-PM-1</t>
  </si>
  <si>
    <t>Clayon</t>
  </si>
  <si>
    <t>6-2-26-CLAYTON-NET-PM-2</t>
  </si>
  <si>
    <t>Hydrangea arborescens</t>
  </si>
  <si>
    <t>6-2-26-CLAYTON-NET-PM-3</t>
  </si>
  <si>
    <t>6-2-26-CLAYTON-NET-PM-4</t>
  </si>
  <si>
    <t>Thymus sp.</t>
  </si>
  <si>
    <t>6-2-26-CLAYTON-NET-PM-5</t>
  </si>
  <si>
    <t>Solanum dulcamara</t>
  </si>
  <si>
    <t>6-2-26-LUIGI-NET-PM-1</t>
  </si>
  <si>
    <t>6-2-26-LUIGI-NET-PM-2</t>
  </si>
  <si>
    <t>Chenopodium album</t>
  </si>
  <si>
    <t>on leaf. Plant not flowering</t>
  </si>
  <si>
    <t>6-2-26-LUIGI-NET-PM-3</t>
  </si>
  <si>
    <t>Cucumis sativus</t>
  </si>
  <si>
    <t>6-2-26-ELG-NET-PM-1</t>
  </si>
  <si>
    <t>D</t>
  </si>
  <si>
    <t>6-2-26-ELG-NET-PM-2</t>
  </si>
  <si>
    <t>6-2-26-ELG-NET-PM-3</t>
  </si>
  <si>
    <t>Salvia officinalis</t>
  </si>
  <si>
    <t>6-2-26-ELG-NET-PM-4</t>
  </si>
  <si>
    <t>6-4-26-HAPPY-NET-AM-1</t>
  </si>
  <si>
    <t>Trifolium repens</t>
  </si>
  <si>
    <t>6-4-26-HAPPY-NET-AM-2</t>
  </si>
  <si>
    <t>Taraxacum officinale</t>
  </si>
  <si>
    <t>6-4-26-HAPPY-NET-AM-3</t>
  </si>
  <si>
    <t>6-4-26-BLF-NET-AM-1</t>
  </si>
  <si>
    <t>Flower P</t>
  </si>
  <si>
    <t>6-4-26-BLF-NET-AM-2</t>
  </si>
  <si>
    <t xml:space="preserve">Rubus sp. </t>
  </si>
  <si>
    <t>6-4-26-BLF-NET-AM-3</t>
  </si>
  <si>
    <t>Rosa sp. (orange)</t>
  </si>
  <si>
    <t>6-4-26-BLF-NET-AM-4</t>
  </si>
  <si>
    <t>6-4-26-OASIS-NET-AM-1</t>
  </si>
  <si>
    <t>6-4-26-OASIS-NET-AM-2</t>
  </si>
  <si>
    <t>E</t>
  </si>
  <si>
    <t>Erigeron sp. (sp C)</t>
  </si>
  <si>
    <t>6-4-26-OASIS-NET-AM-3</t>
  </si>
  <si>
    <t>Rosa sp. (pink)</t>
  </si>
  <si>
    <t>6-4-26-OASIS-NET-AM-4</t>
  </si>
  <si>
    <t>Cornus kousa</t>
  </si>
  <si>
    <t>6-4-26-HAPPY-NET-PM-1</t>
  </si>
  <si>
    <t>I got stung here! Barely hurt</t>
  </si>
  <si>
    <t>6-4-26-HAPPY-NET-PM-2</t>
  </si>
  <si>
    <t>6-4-26-HAPPY-NET-PM-3</t>
  </si>
  <si>
    <t>6-4-26-HAPPY-NET-PM-4</t>
  </si>
  <si>
    <t>red</t>
  </si>
  <si>
    <t>6-4-26-BLF-NET-PM-1</t>
  </si>
  <si>
    <t>6-4-26-BLF-NET-PM-2</t>
  </si>
  <si>
    <t>6-4-26-OASIS-NET-PM-1</t>
  </si>
  <si>
    <t>6-8-26-GALLO-NET-AM-1</t>
  </si>
  <si>
    <t>foxglove beardtongue</t>
  </si>
  <si>
    <t>6-8-26-GALLO-NET-AM-2</t>
  </si>
  <si>
    <t>mophead hydrangea</t>
  </si>
  <si>
    <t>6-8-26-PEACEFUL-NET-AM-1</t>
  </si>
  <si>
    <t>F</t>
  </si>
  <si>
    <t>Rosa sp. (yellow)</t>
  </si>
  <si>
    <t>6-8-26-PEACEFUL-NET-AM-2</t>
  </si>
  <si>
    <t>bombus</t>
  </si>
  <si>
    <t>6-8-26-LYDIA-NET-AM-1</t>
  </si>
  <si>
    <t>cilantro</t>
  </si>
  <si>
    <t>6-8-26-LYDIA-NET-AM-2</t>
  </si>
  <si>
    <t>five-blade motherwort</t>
  </si>
  <si>
    <t>big and interesting</t>
  </si>
  <si>
    <t>6-8-26-LYDIA-NET-AM-3</t>
  </si>
  <si>
    <t>rubus allegheniensis</t>
  </si>
  <si>
    <t>6-8-26-GALLO-NET-PM-1</t>
  </si>
  <si>
    <t>Rosa sp. (white)</t>
  </si>
  <si>
    <t>leafcutter- saw with leaf?</t>
  </si>
  <si>
    <t>6-8-26-GALLO-NET-PM-2</t>
  </si>
  <si>
    <t>6-8-26-GALLO-NET-PM-3</t>
  </si>
  <si>
    <t>6-8-26-LYDIA-NET-PM-1</t>
  </si>
  <si>
    <t>6-8-26-LYDIA-NET-PM-2</t>
  </si>
  <si>
    <t>6-8-26-LYDIA-NET-PM-3</t>
  </si>
  <si>
    <t xml:space="preserve">wild radish </t>
  </si>
  <si>
    <t>6-8-26-LYDIA-NET-PM-4</t>
  </si>
  <si>
    <t>6-24-26-RIVER-NET-AM-1</t>
  </si>
  <si>
    <t>common yarrow</t>
  </si>
  <si>
    <t>6-24-26-RIVER-NET-AM-2</t>
  </si>
  <si>
    <t>erigeron sp.</t>
  </si>
  <si>
    <t>6-24-26-RIVER-NET-AM-3</t>
  </si>
  <si>
    <t>common lavendar</t>
  </si>
  <si>
    <t>6-24-26-RIVER-NET-AM-4</t>
  </si>
  <si>
    <t>6-24-26-RIVER-NET-AM-5</t>
  </si>
  <si>
    <t>dense blazing star</t>
  </si>
  <si>
    <t>6-24-26-RIVER-NET-AM-6</t>
  </si>
  <si>
    <t>6-24-26-HORN-NET-AM-1</t>
  </si>
  <si>
    <t>G</t>
  </si>
  <si>
    <t>cornflower</t>
  </si>
  <si>
    <t>6-24-26-HORN-NET-AM-2</t>
  </si>
  <si>
    <t>H</t>
  </si>
  <si>
    <t>catnip</t>
  </si>
  <si>
    <t>6-24-26-HORN-NET-AM-3</t>
  </si>
  <si>
    <t>I</t>
  </si>
  <si>
    <t>6-24-26-KRYS-NET-AM-1</t>
  </si>
  <si>
    <t>J</t>
  </si>
  <si>
    <t>outer wall of greenhouse</t>
  </si>
  <si>
    <t>6-24-26-KRYS-NET-AM-2</t>
  </si>
  <si>
    <t>K</t>
  </si>
  <si>
    <t>purple coneflower</t>
  </si>
  <si>
    <t>6-24-26-KRYS-NET-AM-3</t>
  </si>
  <si>
    <t>L</t>
  </si>
  <si>
    <t>carrot family</t>
  </si>
  <si>
    <t>6-24-26-KRYS-NET-AM-4</t>
  </si>
  <si>
    <t>M</t>
  </si>
  <si>
    <t>white avens</t>
  </si>
  <si>
    <t>6-24-26-KRYS-NET-AM-5</t>
  </si>
  <si>
    <t>N</t>
  </si>
  <si>
    <t>tomato</t>
  </si>
  <si>
    <t>6-24-26-RIVER-NET-PM-1</t>
  </si>
  <si>
    <t>O</t>
  </si>
  <si>
    <t>6-24-26-RIVER-NET-PM-2</t>
  </si>
  <si>
    <t>P</t>
  </si>
  <si>
    <t>6-24-26-RIVER-NET-PM-3</t>
  </si>
  <si>
    <t>Q</t>
  </si>
  <si>
    <t>6-24-26-RIVER-NET-PM-4</t>
  </si>
  <si>
    <t>R</t>
  </si>
  <si>
    <t>6-24-26-RIVER-NET-PM-5</t>
  </si>
  <si>
    <t>S</t>
  </si>
  <si>
    <t>6-24-26-RIVER-NET-PM-6</t>
  </si>
  <si>
    <t>T</t>
  </si>
  <si>
    <t>6-24-26-HORN-NET-PM-1</t>
  </si>
  <si>
    <t>U</t>
  </si>
  <si>
    <t>catmint</t>
  </si>
  <si>
    <t>6-24-26-HORN-NET-PM-2</t>
  </si>
  <si>
    <t>V</t>
  </si>
  <si>
    <t>yellow cosmos</t>
  </si>
  <si>
    <t>6-24-26-HORN-NET-PM-3</t>
  </si>
  <si>
    <t>W</t>
  </si>
  <si>
    <t>b. griseocolis?</t>
  </si>
  <si>
    <t>6-24-26-KRYS-NET-PM-1</t>
  </si>
  <si>
    <t>X</t>
  </si>
  <si>
    <t>6-24-26-KRYS-NET-PM-2</t>
  </si>
  <si>
    <t>Y</t>
  </si>
  <si>
    <t>lily sp.</t>
  </si>
  <si>
    <t>6-24-26-KRYS-NET-PM-3</t>
  </si>
  <si>
    <t>Z</t>
  </si>
  <si>
    <t>6-25-26-BATEY-NET-AM-1</t>
  </si>
  <si>
    <t>AA</t>
  </si>
  <si>
    <t>6-25-26-BATEY-NET-AM-2</t>
  </si>
  <si>
    <t>AB</t>
  </si>
  <si>
    <t>common sow-thistle</t>
  </si>
  <si>
    <t>6-25-26-OASIS-NET-AM-1</t>
  </si>
  <si>
    <t>AC</t>
  </si>
  <si>
    <t>6-25-26-OASIS-NET-AM-2</t>
  </si>
  <si>
    <t>AD</t>
  </si>
  <si>
    <t>brassica sp.</t>
  </si>
  <si>
    <t>6-25-26-OASIS-NET-AM-3</t>
  </si>
  <si>
    <t>AE</t>
  </si>
  <si>
    <t>maybe not all bees</t>
  </si>
  <si>
    <t>6-25-26-OASIS-NET-AM-4</t>
  </si>
  <si>
    <t>AF</t>
  </si>
  <si>
    <t>cabbage leaf</t>
  </si>
  <si>
    <t>6-25-26-OASIS-NET-AM-5</t>
  </si>
  <si>
    <t>AG</t>
  </si>
  <si>
    <t>6-25-26-HAPPY-NET-AM-1</t>
  </si>
  <si>
    <t>AH</t>
  </si>
  <si>
    <t>6-25-26-HAPPY-NET-AM-2</t>
  </si>
  <si>
    <t>AI</t>
  </si>
  <si>
    <t>spearmint</t>
  </si>
  <si>
    <t>6-25-26-HAPPY-NET-AM-3</t>
  </si>
  <si>
    <t>AJ</t>
  </si>
  <si>
    <t>6-25-26-HAPPY-NET-AM-4</t>
  </si>
  <si>
    <t>AK</t>
  </si>
  <si>
    <t>tomatillo</t>
  </si>
  <si>
    <t>6-25-26-HAPPY-NET-AM-5</t>
  </si>
  <si>
    <t>AL</t>
  </si>
  <si>
    <t>garden parsley</t>
  </si>
  <si>
    <t>6-25-26-HAPPY-NET-AM-6</t>
  </si>
  <si>
    <t>AM</t>
  </si>
  <si>
    <t>6-25-26-BATEY-NET-PM-1</t>
  </si>
  <si>
    <t>AN</t>
  </si>
  <si>
    <t>oxalis stricta</t>
  </si>
  <si>
    <t>6-25-26-BATEY-NET-PM-2</t>
  </si>
  <si>
    <t>AO</t>
  </si>
  <si>
    <t>6-25-26-BATEY-NET-PM-3</t>
  </si>
  <si>
    <t>AP</t>
  </si>
  <si>
    <t xml:space="preserve"> </t>
  </si>
  <si>
    <t>6-25-26-OASIS-NET-PM-1</t>
  </si>
  <si>
    <t>AQ</t>
  </si>
  <si>
    <t>6-25-26-OASIS-NET-PM-2</t>
  </si>
  <si>
    <t>AR</t>
  </si>
  <si>
    <t>6-25-26-OASIS-NET-PM-3</t>
  </si>
  <si>
    <t>AS</t>
  </si>
  <si>
    <t>6-25-26-HAPPY-NET-PM-1</t>
  </si>
  <si>
    <t>AT</t>
  </si>
  <si>
    <t>coriandrum sativum</t>
  </si>
  <si>
    <t>6-25-26-HAPPY-NET-PM-2</t>
  </si>
  <si>
    <t>AU</t>
  </si>
  <si>
    <t>6-29-26-CWG-BOWL</t>
  </si>
  <si>
    <t>6-29-26-W123-BOWL</t>
  </si>
  <si>
    <t>6-29-26-GALLO-BOWL</t>
  </si>
  <si>
    <t>6-29-26-LYDIA-BOWL</t>
  </si>
  <si>
    <t>6-29-26-PVG-BOWL</t>
  </si>
  <si>
    <t>6-29-26-ELG-BOWL</t>
  </si>
  <si>
    <t>6-29-26-LUIGI-BOWL</t>
  </si>
  <si>
    <t>6-29-26-CARRIE-BOWL</t>
  </si>
  <si>
    <t>6-29-26-DREW-BOWL</t>
  </si>
  <si>
    <t>6-29-26-RIVER-BOWL</t>
  </si>
  <si>
    <t>6-29-26-KRYS-BOWL</t>
  </si>
  <si>
    <t>6-29-26-HORN-BOWL</t>
  </si>
  <si>
    <t>6-29-26-HAPPY-BOWL</t>
  </si>
  <si>
    <t>6-29-26-OASIS-BOWL</t>
  </si>
  <si>
    <t>6-29-26-BATEY-BOWL</t>
  </si>
  <si>
    <t>6-30-26-W123-NET-AM-1</t>
  </si>
  <si>
    <t>BA</t>
  </si>
  <si>
    <t>queen anne's lace</t>
  </si>
  <si>
    <t>6-30-26-W123-NET-AM-2</t>
  </si>
  <si>
    <t>BB</t>
  </si>
  <si>
    <t>6-30-26-W123-NET-AM-3</t>
  </si>
  <si>
    <t>BC</t>
  </si>
  <si>
    <t>b. impatiens?</t>
  </si>
  <si>
    <t>6-30-26-ELG-NET-AM-1</t>
  </si>
  <si>
    <t>BD</t>
  </si>
  <si>
    <t>6-30-26-ELG-NET-AM-2</t>
  </si>
  <si>
    <t>BE</t>
  </si>
  <si>
    <t>6-30-26-ELG-NET-AM-3</t>
  </si>
  <si>
    <t>BF</t>
  </si>
  <si>
    <t>6-30-26-ELG-NET-AM-4</t>
  </si>
  <si>
    <t>BG</t>
  </si>
  <si>
    <t>6-30-26-ELG-NET-AM-5</t>
  </si>
  <si>
    <t>BH</t>
  </si>
  <si>
    <t>scarlet bee balm</t>
  </si>
  <si>
    <t>6-30-26-CWG-NET-AM-1</t>
  </si>
  <si>
    <t xml:space="preserve">BI </t>
  </si>
  <si>
    <t>6-30-26-CWG-NET-AM-2</t>
  </si>
  <si>
    <t xml:space="preserve">BJ </t>
  </si>
  <si>
    <t>6-30-26-CWG-NET-AM-3</t>
  </si>
  <si>
    <t xml:space="preserve">BK </t>
  </si>
  <si>
    <t>6-30-26-CWG-NET-AM-4</t>
  </si>
  <si>
    <t>BL</t>
  </si>
  <si>
    <t>hibiscus</t>
  </si>
  <si>
    <t>hibiscus turret bee- big and cool</t>
  </si>
  <si>
    <t>6-30-26-CWG-NET-AM-5</t>
  </si>
  <si>
    <t>BM</t>
  </si>
  <si>
    <t>marigold sp.</t>
  </si>
  <si>
    <t>6-30-26-W123-NET-PM-1</t>
  </si>
  <si>
    <t>BN</t>
  </si>
  <si>
    <t>brassica sp (bok choy)</t>
  </si>
  <si>
    <t>6-30-26-W123-NET-PM-2</t>
  </si>
  <si>
    <t>BO</t>
  </si>
  <si>
    <t>6-30-26-W123-NET-PM-3</t>
  </si>
  <si>
    <t>BP</t>
  </si>
  <si>
    <t>lemonbalm</t>
  </si>
  <si>
    <t>like a naked bombus?</t>
  </si>
  <si>
    <t>6-30-26-ELG-NET-PM-1</t>
  </si>
  <si>
    <t>BQ</t>
  </si>
  <si>
    <t>6-30-26-ELG-NET-PM-2</t>
  </si>
  <si>
    <t>BR</t>
  </si>
  <si>
    <t>6-30-26-ELG-NET-PM-3</t>
  </si>
  <si>
    <t>BS</t>
  </si>
  <si>
    <t>scarlet beebalm</t>
  </si>
  <si>
    <t>6-30-26-CWG-NET-PM-1</t>
  </si>
  <si>
    <t>BT</t>
  </si>
  <si>
    <t>6-30-26-CWG-NET-PM-2</t>
  </si>
  <si>
    <t>BU</t>
  </si>
  <si>
    <t>6-30-26-CWG-NET-PM-3</t>
  </si>
  <si>
    <t>BV</t>
  </si>
  <si>
    <t>brassica (bok choy)</t>
  </si>
  <si>
    <t>6-30-26-CWG-NET-PM-4</t>
  </si>
  <si>
    <t>BW</t>
  </si>
  <si>
    <t>BD?</t>
  </si>
  <si>
    <t>???</t>
  </si>
  <si>
    <t>extra tube that I cannot account for. Everything else is here?</t>
  </si>
  <si>
    <t>7-8-26-LUIGI-NET-AM-1</t>
  </si>
  <si>
    <t>A'</t>
  </si>
  <si>
    <t>shaggy soldier</t>
  </si>
  <si>
    <t>7-8-26-LMG-NET-AM-1</t>
  </si>
  <si>
    <t>B'</t>
  </si>
  <si>
    <t>common lavender</t>
  </si>
  <si>
    <t>7-8-26-LMG-NET-AM-2</t>
  </si>
  <si>
    <t>7-8-26-LMG-NET-AM-3</t>
  </si>
  <si>
    <t>D'</t>
  </si>
  <si>
    <t>7-8-26-LMG-NET-AM-4</t>
  </si>
  <si>
    <t>E'</t>
  </si>
  <si>
    <t>common soapwart</t>
  </si>
  <si>
    <t>7-8-26-LMG-NET-AM-5</t>
  </si>
  <si>
    <t>F'</t>
  </si>
  <si>
    <t>7-8-26-LMG-NET-AM-6</t>
  </si>
  <si>
    <t>G'</t>
  </si>
  <si>
    <t>7-8-26-LMG-NET-AM-7</t>
  </si>
  <si>
    <t>H'</t>
  </si>
  <si>
    <t>butterfly milkweed</t>
  </si>
  <si>
    <t>7-8-26-LMG-NET-AM-8</t>
  </si>
  <si>
    <t>I'</t>
  </si>
  <si>
    <t>7-8-26-GALLO-NET-AM-1</t>
  </si>
  <si>
    <t>J'</t>
  </si>
  <si>
    <t>pot marigold</t>
  </si>
  <si>
    <t>7-8-26-GALLO-NET-AM-2</t>
  </si>
  <si>
    <t>K'</t>
  </si>
  <si>
    <t>7-8-26-PVG-NET-PM-1</t>
  </si>
  <si>
    <t>L'</t>
  </si>
  <si>
    <t>7-8-26-LMG-NET-PM-1</t>
  </si>
  <si>
    <t>M'</t>
  </si>
  <si>
    <t>7-8-26-LMG-NET-PM-2</t>
  </si>
  <si>
    <t>N'</t>
  </si>
  <si>
    <t>fall flox</t>
  </si>
  <si>
    <t>7-8-26-LMG-NET-PM-3</t>
  </si>
  <si>
    <t>O'</t>
  </si>
  <si>
    <t>black raspberry</t>
  </si>
  <si>
    <t>7-8-26-LMG-NET-PM-4</t>
  </si>
  <si>
    <t>P'</t>
  </si>
  <si>
    <t>7-8-26-LMG-NET-PM-5</t>
  </si>
  <si>
    <t>Q'</t>
  </si>
  <si>
    <t>7-8-26-LMG-NET-PM-6</t>
  </si>
  <si>
    <t>R'</t>
  </si>
  <si>
    <t>dill</t>
  </si>
  <si>
    <t>7-8-26-LUIGI-NET-PM-1</t>
  </si>
  <si>
    <t>S'</t>
  </si>
  <si>
    <t>7-8-26-LUIGI-NET-PM-2</t>
  </si>
  <si>
    <t>T'</t>
  </si>
  <si>
    <t>7-9-26-DREW-NET-AM-1</t>
  </si>
  <si>
    <t>U'</t>
  </si>
  <si>
    <t>fennel</t>
  </si>
  <si>
    <t>7-9-26-DREW-NET-AM-2</t>
  </si>
  <si>
    <t>V'</t>
  </si>
  <si>
    <t>common sunflower</t>
  </si>
  <si>
    <t>7-9-26-DREW-NET-AM-3</t>
  </si>
  <si>
    <t>W'</t>
  </si>
  <si>
    <t>7-9-26-DREW-NET-AM-4</t>
  </si>
  <si>
    <t>X'</t>
  </si>
  <si>
    <t>lemon bee balm</t>
  </si>
  <si>
    <t>7-9-26-DREW-NET-AM-5</t>
  </si>
  <si>
    <t>Y'</t>
  </si>
  <si>
    <t>7-9-26-DREW-NET-AM-6</t>
  </si>
  <si>
    <t>Z'</t>
  </si>
  <si>
    <t>7-9-26-DREW-NET-AM-7</t>
  </si>
  <si>
    <t>AA'</t>
  </si>
  <si>
    <t>7-9-26-DREW-NET-PM-1</t>
  </si>
  <si>
    <t>AB'</t>
  </si>
  <si>
    <t>7-9-26-DREW-NET-PM-2</t>
  </si>
  <si>
    <t>AC'</t>
  </si>
  <si>
    <t>7-9-26-DREW-NET-PM-3</t>
  </si>
  <si>
    <t>AD'</t>
  </si>
  <si>
    <t>7-10-26-BLF-NET-AM-1</t>
  </si>
  <si>
    <t>AE'</t>
  </si>
  <si>
    <t>chicory</t>
  </si>
  <si>
    <t>7-10-26-BLF-NET-AM-2</t>
  </si>
  <si>
    <t>AF'</t>
  </si>
  <si>
    <t>7-10-26-BLF-NET-AM-3</t>
  </si>
  <si>
    <t>AG'</t>
  </si>
  <si>
    <t>7-10-26-BLF-NET-AM-4</t>
  </si>
  <si>
    <t>AH'</t>
  </si>
  <si>
    <t>7-10-26-BLF-NET-AM-5</t>
  </si>
  <si>
    <t>AI'</t>
  </si>
  <si>
    <t>crape myrtle</t>
  </si>
  <si>
    <t>7-10-26-BLF-NET-AM-6</t>
  </si>
  <si>
    <t>AJ'</t>
  </si>
  <si>
    <t>7-10-26-BLF-NET-PM-1</t>
  </si>
  <si>
    <t>AK'</t>
  </si>
  <si>
    <t>chili pepper</t>
  </si>
  <si>
    <t>7-10-26-BLF-NET-PM-2</t>
  </si>
  <si>
    <t>AL'</t>
  </si>
  <si>
    <t>7-10-26-BLF-NET-PM-3</t>
  </si>
  <si>
    <t>AM'</t>
  </si>
  <si>
    <t>7-10-26-BLF-NET-PM-4</t>
  </si>
  <si>
    <t>AN'</t>
  </si>
  <si>
    <t>7-10-26-BLF-NET-PM-5</t>
  </si>
  <si>
    <t>AO'</t>
  </si>
  <si>
    <t>7-10-26-BLF-NET-PM-6</t>
  </si>
  <si>
    <t>AP'</t>
  </si>
  <si>
    <t>Date</t>
  </si>
  <si>
    <t>Time</t>
  </si>
  <si>
    <t>Species</t>
  </si>
  <si>
    <t>Quantity</t>
  </si>
  <si>
    <t>Xylocopa virginica</t>
  </si>
  <si>
    <t>around gazebo</t>
  </si>
  <si>
    <t>Apis Melifera</t>
  </si>
  <si>
    <t>around shack</t>
  </si>
  <si>
    <t>Ligustrum ovalifolium</t>
  </si>
  <si>
    <t>one shed</t>
  </si>
  <si>
    <t>in wheelbarrow filled with dirt. Can their hive be in dirt?</t>
  </si>
  <si>
    <t>gazebo</t>
  </si>
  <si>
    <t>Rubus sp.</t>
  </si>
  <si>
    <t>Rosa sp. (white</t>
  </si>
  <si>
    <t>red clover</t>
  </si>
  <si>
    <t>coriander</t>
  </si>
  <si>
    <t>Bombus griseocolis</t>
  </si>
  <si>
    <t>Bombus fervidus</t>
  </si>
  <si>
    <t>on my water bottle</t>
  </si>
  <si>
    <t>Apis melifera</t>
  </si>
  <si>
    <t>white clover</t>
  </si>
  <si>
    <t>hosta sp. (scented hosta?)</t>
  </si>
  <si>
    <t>giant onion</t>
  </si>
  <si>
    <t>borage</t>
  </si>
  <si>
    <t>Bombus impatiens</t>
  </si>
  <si>
    <t>impatiens</t>
  </si>
  <si>
    <t>griseocolis</t>
  </si>
  <si>
    <t>fervidus</t>
  </si>
  <si>
    <t>wild bergamot</t>
  </si>
  <si>
    <t>swamp milkweed</t>
  </si>
  <si>
    <t>flying</t>
  </si>
  <si>
    <t>cornfower</t>
  </si>
  <si>
    <t>Impatiens</t>
  </si>
  <si>
    <t>allium</t>
  </si>
  <si>
    <t>rosa sp.</t>
  </si>
  <si>
    <t>xylocopa virginica</t>
  </si>
  <si>
    <t>anise hyssop</t>
  </si>
  <si>
    <t>oregano</t>
  </si>
  <si>
    <t>apis melifera</t>
  </si>
  <si>
    <t>Garden</t>
  </si>
  <si>
    <t>Label</t>
  </si>
  <si>
    <t>Scientific Name</t>
  </si>
  <si>
    <t>Common Name</t>
  </si>
  <si>
    <t>Square Area (m2)</t>
  </si>
  <si>
    <t>height (m)</t>
  </si>
  <si>
    <t>iNat</t>
  </si>
  <si>
    <t>Drew Gardens</t>
  </si>
  <si>
    <t>https://www.inaturalist.org/observations/363392961</t>
  </si>
  <si>
    <t>Fragaria vesca</t>
  </si>
  <si>
    <t>wild strawberry</t>
  </si>
  <si>
    <t>https://www.inaturalist.org/observations/363392737</t>
  </si>
  <si>
    <t>Erigeron sp.</t>
  </si>
  <si>
    <t>Fleabane genus</t>
  </si>
  <si>
    <t>https://www.inaturalist.org/observations/363392766</t>
  </si>
  <si>
    <t>chives</t>
  </si>
  <si>
    <t>https://www.inaturalist.org/observations/363393967</t>
  </si>
  <si>
    <t>Rose genus</t>
  </si>
  <si>
    <t>https://www.inaturalist.org/observations/363392798</t>
  </si>
  <si>
    <t>Lonicera sp.</t>
  </si>
  <si>
    <t>Honeysuckle genus</t>
  </si>
  <si>
    <t>https://www.inaturalist.org/observations/363392826</t>
  </si>
  <si>
    <t>??</t>
  </si>
  <si>
    <t>https://www.inaturalist.org/observations/363392854</t>
  </si>
  <si>
    <t>Hornaday Garden</t>
  </si>
  <si>
    <t>rose</t>
  </si>
  <si>
    <t>bright pink, rose-like</t>
  </si>
  <si>
    <t>https://www.inaturalist.org/observations/363392570</t>
  </si>
  <si>
    <t>Oxalis sp.</t>
  </si>
  <si>
    <t>&gt; 1</t>
  </si>
  <si>
    <t>https://www.inaturalist.org/observations/363392591</t>
  </si>
  <si>
    <t>Aegopodium podagraria</t>
  </si>
  <si>
    <t>goutweed</t>
  </si>
  <si>
    <t>eastern cat-mint</t>
  </si>
  <si>
    <t>Begonia sp.</t>
  </si>
  <si>
    <t>https://www.inaturalist.org/observations/363392630</t>
  </si>
  <si>
    <t>https://www.inaturalist.org/observations/363392675</t>
  </si>
  <si>
    <t>Lonicera sempervirens</t>
  </si>
  <si>
    <t>coral honeysuckle</t>
  </si>
  <si>
    <t>brassica</t>
  </si>
  <si>
    <t>Trifolium pratense</t>
  </si>
  <si>
    <t>https://www.inaturalist.org/observations/363392940</t>
  </si>
  <si>
    <t>Salvia sp.</t>
  </si>
  <si>
    <t>sage</t>
  </si>
  <si>
    <t>https://www.inaturalist.org/observations/363392988</t>
  </si>
  <si>
    <t>thyme</t>
  </si>
  <si>
    <t>https://www.inaturalist.org/observations/363393012</t>
  </si>
  <si>
    <t>https://www.inaturalist.org/observations/363392907</t>
  </si>
  <si>
    <t>Erigeron annus</t>
  </si>
  <si>
    <t>Annual fleabane</t>
  </si>
  <si>
    <t>rue</t>
  </si>
  <si>
    <t>https://www.inaturalist.org/observations/363392877</t>
  </si>
  <si>
    <t>Rose sp.</t>
  </si>
  <si>
    <t>pink rose</t>
  </si>
  <si>
    <t>https://www.inaturalist.org/observations/363393076</t>
  </si>
  <si>
    <t>?</t>
  </si>
  <si>
    <t>orange rose</t>
  </si>
  <si>
    <t>https://www.inaturalist.org/observations/367433283</t>
  </si>
  <si>
    <t>Anthemis arvensis</t>
  </si>
  <si>
    <t>Corn Chamomile</t>
  </si>
  <si>
    <t>a daisy?</t>
  </si>
  <si>
    <t>https://www.inaturalist.org/observations/363393114</t>
  </si>
  <si>
    <t>red rose</t>
  </si>
  <si>
    <t>https://www.inaturalist.org/observations/363393169</t>
  </si>
  <si>
    <t>Dianthus barbatus</t>
  </si>
  <si>
    <t>Sweet William</t>
  </si>
  <si>
    <t>https://www.inaturalist.org/observations/363393145</t>
  </si>
  <si>
    <t>Cornflower</t>
  </si>
  <si>
    <t>https://www.inaturalist.org/observations/363393037</t>
  </si>
  <si>
    <t>Tagetes erecta</t>
  </si>
  <si>
    <t>Mexican marigold</t>
  </si>
  <si>
    <t>https://www.inaturalist.org/observations/367850694</t>
  </si>
  <si>
    <t>field mustard</t>
  </si>
  <si>
    <t>https://www.inaturalist.org/observations/367850643</t>
  </si>
  <si>
    <t>giant allium</t>
  </si>
  <si>
    <t>Impatiens walleriana</t>
  </si>
  <si>
    <t>Busy Lizzie</t>
  </si>
  <si>
    <t>https://www.inaturalist.org/observations/367850500</t>
  </si>
  <si>
    <t>Antirrhinum majus</t>
  </si>
  <si>
    <t>snapdragon</t>
  </si>
  <si>
    <t>https://www.inaturalist.org/observations/367850541</t>
  </si>
  <si>
    <t>https://www.inaturalist.org/observations/367850776</t>
  </si>
  <si>
    <t>garden sage</t>
  </si>
  <si>
    <t>https://www.inaturalist.org/observations/367850824</t>
  </si>
  <si>
    <t>Petunia integrifolia</t>
  </si>
  <si>
    <t>violetflower petunia</t>
  </si>
  <si>
    <t>https://www.inaturalist.org/observations/367850855</t>
  </si>
  <si>
    <t>https://www.inaturalist.org/observations/367850907</t>
  </si>
  <si>
    <t>Clematus sp.</t>
  </si>
  <si>
    <t>purple</t>
  </si>
  <si>
    <t>https://www.inaturalist.org/observations/367850939</t>
  </si>
  <si>
    <t>pink</t>
  </si>
  <si>
    <t>https://www.inaturalist.org/observations/367850969</t>
  </si>
  <si>
    <t>Hydrangea quercifolia</t>
  </si>
  <si>
    <t>oakleaf hydrangea</t>
  </si>
  <si>
    <t>https://www.inaturalist.org/observations/367850990</t>
  </si>
  <si>
    <t>https://www.inaturalist.org/observations/367851043</t>
  </si>
  <si>
    <t>Hydrangea macrophila</t>
  </si>
  <si>
    <t>https://www.inaturalist.org/observations/367851077</t>
  </si>
  <si>
    <t>Aquilegia chrysantha</t>
  </si>
  <si>
    <t>golden columbine</t>
  </si>
  <si>
    <t>avandula angustifolia</t>
  </si>
  <si>
    <t>Calendula officinalis</t>
  </si>
  <si>
    <t>Phacelia tanacetifolia</t>
  </si>
  <si>
    <t>lacy phacelia</t>
  </si>
  <si>
    <t>https://www.inaturalist.org/observations/367851111</t>
  </si>
  <si>
    <t>Eschscholzia californica</t>
  </si>
  <si>
    <t>california poppy</t>
  </si>
  <si>
    <t>https://www.inaturalist.org/observations/367851156</t>
  </si>
  <si>
    <t>bittersweet nightshade</t>
  </si>
  <si>
    <t>https://www.inaturalist.org/observations/367851224</t>
  </si>
  <si>
    <t>garden privet</t>
  </si>
  <si>
    <t>https://www.inaturalist.org/observations/367851270</t>
  </si>
  <si>
    <t>Erigeron philadelphicus</t>
  </si>
  <si>
    <t>Philadelphia fleabane</t>
  </si>
  <si>
    <t>Veronia persica</t>
  </si>
  <si>
    <t>Bird's eye speedwell</t>
  </si>
  <si>
    <t>https://www.inaturalist.org/observations/367851341</t>
  </si>
  <si>
    <t>Medicago lupulina</t>
  </si>
  <si>
    <t>black medick</t>
  </si>
  <si>
    <t>https://www.inaturalist.org/observations/367851391</t>
  </si>
  <si>
    <t>Allium fistulosum</t>
  </si>
  <si>
    <t>welsh onion</t>
  </si>
  <si>
    <t>https://www.inaturalist.org/observations/367851427</t>
  </si>
  <si>
    <t>Gypsophila elegans</t>
  </si>
  <si>
    <t>showy baby's breath</t>
  </si>
  <si>
    <t>https://www.inaturalist.org/observations/367851454</t>
  </si>
  <si>
    <t>Erysimum capitatum</t>
  </si>
  <si>
    <t>western wallflower</t>
  </si>
  <si>
    <t>https://www.inaturalist.org/observations/367851492</t>
  </si>
  <si>
    <t>wild hydrangea</t>
  </si>
  <si>
    <t>https://www.inaturalist.org/observations/367851519</t>
  </si>
  <si>
    <t>Tradescantia sp.</t>
  </si>
  <si>
    <t>https://www.inaturalist.org/observations/367851543</t>
  </si>
  <si>
    <t>Rosa rugosa</t>
  </si>
  <si>
    <t>rugosa rose</t>
  </si>
  <si>
    <t>https://www.inaturalist.org/observations/367851579</t>
  </si>
  <si>
    <t>Rudbeckia hirta</t>
  </si>
  <si>
    <t>black-eyed susan</t>
  </si>
  <si>
    <t>https://www.inaturalist.org/observations/367851612</t>
  </si>
  <si>
    <t>https://www.inaturalist.org/observations/367851635</t>
  </si>
  <si>
    <t>Galinsoga quadriradiata</t>
  </si>
  <si>
    <t>https://www.inaturalist.org/observations/367851659</t>
  </si>
  <si>
    <t>Oxalis stricta</t>
  </si>
  <si>
    <t>https://www.inaturalist.org/observations/367851701</t>
  </si>
  <si>
    <t>Gallium sp</t>
  </si>
  <si>
    <t>https://www.inaturalist.org/observations/368368035</t>
  </si>
  <si>
    <t>Plantago lanceolata</t>
  </si>
  <si>
    <t>ribwort plantain</t>
  </si>
  <si>
    <t>https://www.inaturalist.org/observations/368368091</t>
  </si>
  <si>
    <t>dandelion</t>
  </si>
  <si>
    <t>Convolvulus arvensis</t>
  </si>
  <si>
    <t>field blindweed</t>
  </si>
  <si>
    <t>https://www.inaturalist.org/observations/368368127</t>
  </si>
  <si>
    <t>white</t>
  </si>
  <si>
    <t>https://www.inaturalist.org/observations/368368163</t>
  </si>
  <si>
    <t>Catharanthus roseus</t>
  </si>
  <si>
    <t>madagascar periwinkle</t>
  </si>
  <si>
    <t>https://www.inaturalist.org/observations/368368200</t>
  </si>
  <si>
    <t>Impatiens hawkeri</t>
  </si>
  <si>
    <t>new guinea impatiens</t>
  </si>
  <si>
    <t>https://www.inaturalist.org/observations/368368239</t>
  </si>
  <si>
    <t>philidelphia?</t>
  </si>
  <si>
    <t>https://www.inaturalist.org/observations/368368277</t>
  </si>
  <si>
    <t>https://www.inaturalist.org/observations/368368315</t>
  </si>
  <si>
    <t>red petunia?</t>
  </si>
  <si>
    <t>https://www.inaturalist.org/observations/368368367</t>
  </si>
  <si>
    <t>Petunia sp.</t>
  </si>
  <si>
    <t>maybe just more P. integrifolia</t>
  </si>
  <si>
    <t>https://www.inaturalist.org/observations/368368408</t>
  </si>
  <si>
    <t>low smartweed</t>
  </si>
  <si>
    <t>https://www.inaturalist.org/observations/368368440</t>
  </si>
  <si>
    <t>Kousa Dogwood</t>
  </si>
  <si>
    <t>common dandelion</t>
  </si>
  <si>
    <t>Common Columbine</t>
  </si>
  <si>
    <t>common columbine</t>
  </si>
  <si>
    <t>https://www.inaturalist.org/observations/368445237</t>
  </si>
  <si>
    <t>family Asteroideae</t>
  </si>
  <si>
    <t>initally said Chrysanthemum-- clearly not on further inspection</t>
  </si>
  <si>
    <t>https://www.inaturalist.org/observations/368374372</t>
  </si>
  <si>
    <t>annus?</t>
  </si>
  <si>
    <t>https://www.inaturalist.org/observations/368445270</t>
  </si>
  <si>
    <t>dark pink</t>
  </si>
  <si>
    <t>sweet william</t>
  </si>
  <si>
    <t>https://www.inaturalist.org/observations/368445331</t>
  </si>
  <si>
    <t>smartweed</t>
  </si>
  <si>
    <t>common chickweed</t>
  </si>
  <si>
    <t>https://www.inaturalist.org/observations/368445386</t>
  </si>
  <si>
    <t>https://www.inaturalist.org/observations/368445409</t>
  </si>
  <si>
    <t>family Apodieae</t>
  </si>
  <si>
    <t>carrot family. parsley?</t>
  </si>
  <si>
    <r>
      <rPr>
        <color rgb="FF1155CC"/>
        <u/>
      </rPr>
      <t>https://www.inaturalist.org/observations/368445465</t>
    </r>
    <r>
      <rPr/>
      <t xml:space="preserve">  </t>
    </r>
    <r>
      <rPr>
        <color rgb="FF1155CC"/>
        <u/>
      </rPr>
      <t>https://www.inaturalist.org/observations/368445437</t>
    </r>
  </si>
  <si>
    <t>https://www.inaturalist.org/observations/368445496</t>
  </si>
  <si>
    <t>Rubus ideaus</t>
  </si>
  <si>
    <t>https://www.inaturalist.org/observations/368445515</t>
  </si>
  <si>
    <t>Begonia cucullata</t>
  </si>
  <si>
    <t>wax begonia</t>
  </si>
  <si>
    <t>https://www.inaturalist.org/observations/368445626</t>
  </si>
  <si>
    <t>Physalis philadelphica</t>
  </si>
  <si>
    <t>large-flowered tomatillo</t>
  </si>
  <si>
    <t>https://www.inaturalist.org/observations/368445593</t>
  </si>
  <si>
    <t>pink climbing flower</t>
  </si>
  <si>
    <t>https://www.inaturalist.org/observations/368445659</t>
  </si>
  <si>
    <t>Allium sp.</t>
  </si>
  <si>
    <t>https://www.inaturalist.org/observations/368445695</t>
  </si>
  <si>
    <t>https://www.inaturalist.org/observations/368445750</t>
  </si>
  <si>
    <t>orange</t>
  </si>
  <si>
    <t>https://www.inaturalist.org/observations/368445785</t>
  </si>
  <si>
    <t>https://www.inaturalist.org/observations/368445806</t>
  </si>
  <si>
    <t>https://www.inaturalist.org/observations/368445832</t>
  </si>
  <si>
    <t>yellow, daisy-like</t>
  </si>
  <si>
    <t>https://www.inaturalist.org/observations/368445867</t>
  </si>
  <si>
    <t>family Rosoideae</t>
  </si>
  <si>
    <r>
      <rPr>
        <color rgb="FF1155CC"/>
        <u/>
      </rPr>
      <t>https://www.inaturalist.org/observations/368445931</t>
    </r>
    <r>
      <rPr>
        <color rgb="FF1F1F1F"/>
      </rPr>
      <t xml:space="preserve"> </t>
    </r>
    <r>
      <rPr>
        <color rgb="FF1155CC"/>
        <u/>
      </rPr>
      <t>https://www.inaturalist.org/observations/368445898</t>
    </r>
  </si>
  <si>
    <t>Leonurus quinquelobatus</t>
  </si>
  <si>
    <t>five-blade motherwart</t>
  </si>
  <si>
    <t>Tradescantia virginiana</t>
  </si>
  <si>
    <t>virginia spiderwort</t>
  </si>
  <si>
    <t>https://www.inaturalist.org/observations/369825154</t>
  </si>
  <si>
    <t>https://www.inaturalist.org/observations/369824949</t>
  </si>
  <si>
    <t>https://www.inaturalist.org/observations/369825308</t>
  </si>
  <si>
    <t>Raphanus raphanistrum</t>
  </si>
  <si>
    <t>wild radish</t>
  </si>
  <si>
    <t>https://www.inaturalist.org/observations/369825210</t>
  </si>
  <si>
    <t>Tanacetum parthenium</t>
  </si>
  <si>
    <t>feverfew</t>
  </si>
  <si>
    <t>https://www.inaturalist.org/observations/369825451</t>
  </si>
  <si>
    <t>Rubus allegheniensis</t>
  </si>
  <si>
    <t>blacberry</t>
  </si>
  <si>
    <t>https://www.inaturalist.org/observations/369825527</t>
  </si>
  <si>
    <t>Brassica olecerea</t>
  </si>
  <si>
    <t>cabbage</t>
  </si>
  <si>
    <t>https://www.inaturalist.org/observations/369825566</t>
  </si>
  <si>
    <t>yarrow sp.</t>
  </si>
  <si>
    <t>https://www.inaturalist.org/observations/369825604</t>
  </si>
  <si>
    <t>Lavandula angustifolia</t>
  </si>
  <si>
    <t>https://www.inaturalist.org/observations/369825636</t>
  </si>
  <si>
    <t>Ornithogalum sp.</t>
  </si>
  <si>
    <t>https://www.inaturalist.org/observations/369825718</t>
  </si>
  <si>
    <t>allium sp.</t>
  </si>
  <si>
    <t>Triodanis perfolita</t>
  </si>
  <si>
    <t>triodanis sp.</t>
  </si>
  <si>
    <t>https://www.inaturalist.org/observations/369825812</t>
  </si>
  <si>
    <t>Geranium maculatum</t>
  </si>
  <si>
    <t>wild geranium</t>
  </si>
  <si>
    <t>https://www.inaturalist.org/observations/369825971</t>
  </si>
  <si>
    <t>Campanula persicifolia</t>
  </si>
  <si>
    <t>Peach-leaved bellflower</t>
  </si>
  <si>
    <t>https://www.inaturalist.org/observations/369826028</t>
  </si>
  <si>
    <t>??? (class Magnoliopsida)</t>
  </si>
  <si>
    <t>https://www.inaturalist.org/observations/369826088</t>
  </si>
  <si>
    <t>Thunbergia alata</t>
  </si>
  <si>
    <t>black-eyed susan vine</t>
  </si>
  <si>
    <t>https://www.inaturalist.org/observations/369826145</t>
  </si>
  <si>
    <t>Solanum lycopersicum</t>
  </si>
  <si>
    <t>https://www.inaturalist.org/observations/369826209</t>
  </si>
  <si>
    <t>curcubita sp.</t>
  </si>
  <si>
    <t>https://www.inaturalist.org/observations/369826295</t>
  </si>
  <si>
    <t>Rubus idaeus</t>
  </si>
  <si>
    <t>red raspberry</t>
  </si>
  <si>
    <t>https://www.inaturalist.org/observations/369826368</t>
  </si>
  <si>
    <t>Hydrangea macrophylla</t>
  </si>
  <si>
    <t>https://www.inaturalist.org/observations/369826420</t>
  </si>
  <si>
    <t>Clasping Venus's Looking Glass</t>
  </si>
  <si>
    <t>https://www.inaturalist.org/observations/369826484</t>
  </si>
  <si>
    <t>Ergieron annus</t>
  </si>
  <si>
    <t>https://www.inaturalist.org/observations/369826542</t>
  </si>
  <si>
    <t>https://www.inaturalist.org/observations/369826582</t>
  </si>
  <si>
    <t>Ageratum houstonianum</t>
  </si>
  <si>
    <t>blue mink</t>
  </si>
  <si>
    <t>https://www.inaturalist.org/observations/369826614</t>
  </si>
  <si>
    <t>https://www.inaturalist.org/observations/369826655</t>
  </si>
  <si>
    <t>https://www.inaturalist.org/observations/369826711</t>
  </si>
  <si>
    <t>Salvia splendens</t>
  </si>
  <si>
    <t>scarlet sage</t>
  </si>
  <si>
    <t>https://www.inaturalist.org/observations/369826755</t>
  </si>
  <si>
    <t>Leucanthemum maximum</t>
  </si>
  <si>
    <t>max chrysanthemum</t>
  </si>
  <si>
    <t>https://www.inaturalist.org/observations/369826818</t>
  </si>
  <si>
    <t>Achillea millefolium</t>
  </si>
  <si>
    <t>https://www.inaturalist.org/observations/369826874</t>
  </si>
  <si>
    <t>light pink</t>
  </si>
  <si>
    <t>Hosta sp.</t>
  </si>
  <si>
    <t>one of two species</t>
  </si>
  <si>
    <t>https://www.inaturalist.org/observations/369826947</t>
  </si>
  <si>
    <t>false stonecrops</t>
  </si>
  <si>
    <t>Phedimus sp.</t>
  </si>
  <si>
    <t>https://www.inaturalist.org/observations/369827004</t>
  </si>
  <si>
    <t>collected by Xiaonan</t>
  </si>
  <si>
    <t>Curcubita pepo</t>
  </si>
  <si>
    <t>American pumpkin</t>
  </si>
  <si>
    <t>Mexcian Marigold</t>
  </si>
  <si>
    <t>Madagascar Periwinkle</t>
  </si>
  <si>
    <t>cucumber</t>
  </si>
  <si>
    <t xml:space="preserve">orange day-lily </t>
  </si>
  <si>
    <t>Garden sage</t>
  </si>
  <si>
    <t>shrubby St. John'sWort</t>
  </si>
  <si>
    <t>dicots</t>
  </si>
  <si>
    <t>carnations</t>
  </si>
  <si>
    <t>(dark red lily)</t>
  </si>
  <si>
    <t>Asclepias syriaca</t>
  </si>
  <si>
    <t>common milkweed</t>
  </si>
  <si>
    <t>rosa sp. (pink)</t>
  </si>
  <si>
    <t>false sunflower</t>
  </si>
  <si>
    <t>leek</t>
  </si>
  <si>
    <t>Black-eyed susan</t>
  </si>
  <si>
    <t xml:space="preserve">Hornaday </t>
  </si>
  <si>
    <t>Curcubita sp. (gourds)</t>
  </si>
  <si>
    <t>garden cosmos</t>
  </si>
  <si>
    <t>blue verain</t>
  </si>
  <si>
    <t>hedge bindweed</t>
  </si>
  <si>
    <t>.58*.54</t>
  </si>
  <si>
    <t>garden nasturitum</t>
  </si>
  <si>
    <t>german chamomile</t>
  </si>
  <si>
    <t>allium sp,</t>
  </si>
  <si>
    <t>tiger lily</t>
  </si>
  <si>
    <t>Allium sp,</t>
  </si>
  <si>
    <t>Hosta sp,</t>
  </si>
  <si>
    <t>yellow daylily</t>
  </si>
  <si>
    <t>milkweed sp.</t>
  </si>
  <si>
    <t>sunflower</t>
  </si>
  <si>
    <t>rosa sp. (light pink)</t>
  </si>
  <si>
    <t>rosa sp. (Darker pink)</t>
  </si>
  <si>
    <t>gardenflora rose</t>
  </si>
  <si>
    <t>white yellowish rosa sp.</t>
  </si>
  <si>
    <t>red rosa sp.</t>
  </si>
  <si>
    <t>mallow</t>
  </si>
  <si>
    <t>orange day-lily</t>
  </si>
  <si>
    <t>hollyhock</t>
  </si>
  <si>
    <t>yellow lily</t>
  </si>
  <si>
    <t>chrysanthemum</t>
  </si>
  <si>
    <t>morning glories</t>
  </si>
  <si>
    <t>common sow thistle</t>
  </si>
  <si>
    <t>clover</t>
  </si>
  <si>
    <t>curcubita</t>
  </si>
  <si>
    <t>parsley</t>
  </si>
  <si>
    <t>magnolia lilifloria</t>
  </si>
  <si>
    <t>(MAPS)</t>
  </si>
  <si>
    <t>El Batey</t>
  </si>
  <si>
    <t>mexican marigold</t>
  </si>
  <si>
    <t>pumpkin</t>
  </si>
  <si>
    <t>solanum emulans</t>
  </si>
  <si>
    <t>asiatic dayflower</t>
  </si>
  <si>
    <t>begonia</t>
  </si>
  <si>
    <t>field bindweed</t>
  </si>
  <si>
    <t>hedge bedstraw</t>
  </si>
  <si>
    <t>quail grass</t>
  </si>
  <si>
    <t>flaming katie</t>
  </si>
  <si>
    <t>hosta sp.</t>
  </si>
  <si>
    <t>"red ones" ???</t>
  </si>
  <si>
    <t>zinnia elegans</t>
  </si>
  <si>
    <t>eggplant</t>
  </si>
  <si>
    <t>basil</t>
  </si>
  <si>
    <t>bok choy (brassica)</t>
  </si>
  <si>
    <t>sweet basil</t>
  </si>
  <si>
    <t>google maps?</t>
  </si>
  <si>
    <t>medick</t>
  </si>
  <si>
    <t>sweet pea</t>
  </si>
  <si>
    <t>horseweed</t>
  </si>
  <si>
    <t>marigolds</t>
  </si>
  <si>
    <t>garden nasturium</t>
  </si>
  <si>
    <t>garden balsam</t>
  </si>
  <si>
    <t>nightshade sp.</t>
  </si>
  <si>
    <t>french marigold</t>
  </si>
  <si>
    <t>coneflower</t>
  </si>
  <si>
    <t>shepherd's purse</t>
  </si>
  <si>
    <t>garden dahlia</t>
  </si>
  <si>
    <t>busy lizzie</t>
  </si>
  <si>
    <t>calibrachoa</t>
  </si>
  <si>
    <t>brassica rapa</t>
  </si>
  <si>
    <t>italian clematis</t>
  </si>
  <si>
    <t>use maps for width of pollinator garden</t>
  </si>
  <si>
    <t>obedient plant</t>
  </si>
  <si>
    <t>rosa sp. (red)</t>
  </si>
  <si>
    <t>yellow woodsorrel</t>
  </si>
  <si>
    <t>common hibiscus</t>
  </si>
  <si>
    <t>tall</t>
  </si>
  <si>
    <t>Roripa sp.</t>
  </si>
  <si>
    <t>cardinal flower</t>
  </si>
  <si>
    <t>pelargonium sp.</t>
  </si>
  <si>
    <t>rosa A (yellow)</t>
  </si>
  <si>
    <t>rosa B (pink)</t>
  </si>
  <si>
    <t>gooseneck loosestrife</t>
  </si>
  <si>
    <t>lemon beebalm</t>
  </si>
  <si>
    <t>purple-vein geranium</t>
  </si>
  <si>
    <t>peach-leaved bellflower</t>
  </si>
  <si>
    <t>.3 or 2.1</t>
  </si>
  <si>
    <t>uncertain about climbing or ground ht</t>
  </si>
  <si>
    <t>pumpkin?</t>
  </si>
  <si>
    <t>evening primrose</t>
  </si>
  <si>
    <t>wild garlic</t>
  </si>
  <si>
    <t>annual fleabane</t>
  </si>
  <si>
    <t>cutleaf coneflower</t>
  </si>
  <si>
    <t>japanese spirea</t>
  </si>
  <si>
    <t>common lantana</t>
  </si>
  <si>
    <t>marguerite daisy</t>
  </si>
  <si>
    <t>(yellow daisy sp)</t>
  </si>
  <si>
    <t>Num Species</t>
  </si>
  <si>
    <t>Count</t>
  </si>
  <si>
    <t>Outside Count Species?</t>
  </si>
  <si>
    <t>Mallard</t>
  </si>
  <si>
    <t>GRCA, DOWO, MODO</t>
  </si>
  <si>
    <t>House Sparrow</t>
  </si>
  <si>
    <t>European Starling</t>
  </si>
  <si>
    <t>Northern Cardinal</t>
  </si>
  <si>
    <t>feeding</t>
  </si>
  <si>
    <t>Song Sparrow</t>
  </si>
  <si>
    <t>heard</t>
  </si>
  <si>
    <t>Barn Swallow</t>
  </si>
  <si>
    <t>Rock Pigeon</t>
  </si>
  <si>
    <t>American Robin</t>
  </si>
  <si>
    <t>Chimney Swift</t>
  </si>
  <si>
    <t>River Garden</t>
  </si>
  <si>
    <t>CEDW, ROPI, BAOR, CAGO</t>
  </si>
  <si>
    <t>Northern Mockingbird</t>
  </si>
  <si>
    <t>American Crow</t>
  </si>
  <si>
    <t>House Sparow</t>
  </si>
  <si>
    <t>feeding, bathing</t>
  </si>
  <si>
    <t>AMRO</t>
  </si>
  <si>
    <t>CORA</t>
  </si>
  <si>
    <t>CEDW?</t>
  </si>
  <si>
    <t>bathed after count</t>
  </si>
  <si>
    <t>male/female pair</t>
  </si>
  <si>
    <t>House Finch</t>
  </si>
  <si>
    <t>Mourning Dove</t>
  </si>
  <si>
    <t>NOCA</t>
  </si>
  <si>
    <t>fighting/ courtship</t>
  </si>
  <si>
    <t>MODO</t>
  </si>
  <si>
    <t>fledgling and parent</t>
  </si>
  <si>
    <t>member Meredith told me she's seen goldfinches, purple finches (maybe meant HOFI), and fledgling robins and cardinals.</t>
  </si>
  <si>
    <t>Blue Jay</t>
  </si>
  <si>
    <t>Cedar Waxing</t>
  </si>
  <si>
    <t>BLJA</t>
  </si>
  <si>
    <t>CHSW</t>
  </si>
  <si>
    <t>Gray Catbird</t>
  </si>
  <si>
    <t>Common Grackle</t>
  </si>
  <si>
    <t>terrirtorial/fighting?</t>
  </si>
  <si>
    <t>flyover</t>
  </si>
  <si>
    <t>Snowy Egret</t>
  </si>
  <si>
    <t>fish crow</t>
  </si>
  <si>
    <t>gull sp.</t>
  </si>
  <si>
    <t>Common</t>
  </si>
  <si>
    <t>Scientific</t>
  </si>
  <si>
    <t>Commelina communis</t>
  </si>
  <si>
    <t>Cucurbita pepo</t>
  </si>
  <si>
    <t>Tagetes lemmonii</t>
  </si>
  <si>
    <t xml:space="preserve">Hibiscus syriacus </t>
  </si>
  <si>
    <t>Persicaria longiseta</t>
  </si>
  <si>
    <t>Lobelia cardinalis</t>
  </si>
  <si>
    <t>Salvia coccinea</t>
  </si>
  <si>
    <t>Liatris spicata</t>
  </si>
  <si>
    <t>Hemerocallis fulva</t>
  </si>
  <si>
    <t>Lysimachia clethroides</t>
  </si>
  <si>
    <t>Phlox paniculata</t>
  </si>
  <si>
    <t>Cosmos bipinnatus</t>
  </si>
  <si>
    <t>Asclepias tuberosa</t>
  </si>
  <si>
    <t>Echinacea purpurea</t>
  </si>
  <si>
    <t>Anethum graveolens</t>
  </si>
  <si>
    <t>Agastache foeniculum</t>
  </si>
  <si>
    <t>Cosmos sulphureus</t>
  </si>
  <si>
    <t>Monarda citriodora</t>
  </si>
  <si>
    <t>Physostegia virginiana</t>
  </si>
  <si>
    <t>Verbena hastata</t>
  </si>
  <si>
    <t>Geranium wallichianum</t>
  </si>
  <si>
    <t>Saponaria officinalis</t>
  </si>
  <si>
    <t>Daucus carota</t>
  </si>
  <si>
    <t>bok choy</t>
  </si>
  <si>
    <t>2485 Belmont Ave, Bronx, NY</t>
  </si>
  <si>
    <t>1981 Lafontaine Ave, Bronx, NY</t>
  </si>
  <si>
    <t>1086 E 180th St, Bronx, NY</t>
  </si>
  <si>
    <t>2160 Prospect Avenue</t>
  </si>
  <si>
    <t>1070 E Tremont Ave, Bronx, NY</t>
  </si>
  <si>
    <t>851 Hornaday Pl, Bronx, NY</t>
  </si>
  <si>
    <t>504 E 178th St, Bronx, NY</t>
  </si>
  <si>
    <t>2093 Vyse Ave, Bronx, NY</t>
  </si>
  <si>
    <t>303 W 126th St, New York, NY</t>
  </si>
  <si>
    <t>52 E 117th St, New York, NY</t>
  </si>
  <si>
    <t>1891 Lexington Ave, New York, NY</t>
  </si>
  <si>
    <t>145 St. Nicholas Ave, New York, NY</t>
  </si>
  <si>
    <t>237 W 111th St, New York, NY</t>
  </si>
  <si>
    <t>227 W 115th St, New York, NY</t>
  </si>
  <si>
    <t>116 W 123rd St, New York, NY</t>
  </si>
  <si>
    <t>1665 Park Ave, New York, NY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</si>
</sst>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h:mm am/pm"/>
    <numFmt numFmtId="166" formatCode="mmmm d, yyyy"/>
  </numFmts>
  <fonts count="11">
    <font>
      <sz val="10.0"/>
      <color rgb="FF000000"/>
      <name val="Arial"/>
      <scheme val="minor"/>
    </font>
    <font>
      <b/>
      <sz val="14.0"/>
      <color theme="1"/>
      <name val="Arial"/>
      <scheme val="minor"/>
    </font>
    <font>
      <b/>
      <color theme="1"/>
      <name val="Arial"/>
      <scheme val="minor"/>
    </font>
    <font>
      <color theme="1"/>
      <name val="Arial"/>
      <scheme val="minor"/>
    </font>
    <font>
      <u/>
      <color rgb="FF0000FF"/>
    </font>
    <font>
      <u/>
      <color rgb="FF0000FF"/>
    </font>
    <font>
      <u/>
      <color rgb="FF0000FF"/>
    </font>
    <font>
      <u/>
      <color rgb="FF0000FF"/>
    </font>
    <font>
      <i/>
      <color rgb="FF101418"/>
      <name val="Arial"/>
    </font>
    <font>
      <color rgb="FF1F1F1F"/>
      <name val="Arial"/>
      <scheme val="minor"/>
    </font>
    <font>
      <u/>
      <color rgb="FF0000FF"/>
    </font>
  </fonts>
  <fills count="8">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CFE2F3"/>
        <bgColor rgb="FFCFE2F3"/>
      </patternFill>
    </fill>
    <fill>
      <patternFill patternType="solid">
        <fgColor rgb="FFB6D7A8"/>
        <bgColor rgb="FFB6D7A8"/>
      </patternFill>
    </fill>
    <fill>
      <patternFill patternType="solid">
        <fgColor rgb="FFFFFF00"/>
        <bgColor rgb="FFFFFF00"/>
      </patternFill>
    </fill>
    <fill>
      <patternFill patternType="solid">
        <fgColor rgb="FFCCCCCC"/>
        <bgColor rgb="FFCCCCCC"/>
      </patternFill>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1" numFmtId="0" xfId="0" applyAlignment="1" applyBorder="1" applyFont="1">
      <alignment horizontal="center"/>
    </xf>
    <xf borderId="3" fillId="3" fontId="2" numFmtId="0" xfId="0" applyAlignment="1" applyBorder="1" applyFill="1" applyFont="1">
      <alignment readingOrder="0"/>
    </xf>
    <xf borderId="4" fillId="0" fontId="3" numFmtId="0" xfId="0" applyAlignment="1" applyBorder="1" applyFont="1">
      <alignment horizontal="center"/>
    </xf>
    <xf borderId="1" fillId="3" fontId="2" numFmtId="0" xfId="0" applyAlignment="1" applyBorder="1" applyFont="1">
      <alignment readingOrder="0"/>
    </xf>
    <xf borderId="2" fillId="0" fontId="3" numFmtId="0" xfId="0" applyAlignment="1" applyBorder="1" applyFont="1">
      <alignment horizontal="center"/>
    </xf>
    <xf borderId="5" fillId="3" fontId="2" numFmtId="0" xfId="0" applyAlignment="1" applyBorder="1" applyFont="1">
      <alignment readingOrder="0"/>
    </xf>
    <xf borderId="6" fillId="0" fontId="3" numFmtId="0" xfId="0" applyAlignment="1" applyBorder="1" applyFont="1">
      <alignment horizontal="center"/>
    </xf>
    <xf borderId="1" fillId="2" fontId="2" numFmtId="0" xfId="0" applyAlignment="1" applyBorder="1" applyFont="1">
      <alignment readingOrder="0"/>
    </xf>
    <xf borderId="2" fillId="2" fontId="2" numFmtId="0" xfId="0" applyAlignment="1" applyBorder="1" applyFont="1">
      <alignment readingOrder="0"/>
    </xf>
    <xf borderId="0" fillId="0" fontId="3" numFmtId="0" xfId="0" applyAlignment="1" applyFont="1">
      <alignment horizontal="left" readingOrder="0"/>
    </xf>
    <xf borderId="3" fillId="3" fontId="2" numFmtId="0" xfId="0" applyBorder="1" applyFont="1"/>
    <xf borderId="0" fillId="0" fontId="3" numFmtId="0" xfId="0" applyAlignment="1" applyFont="1">
      <alignment horizontal="left"/>
    </xf>
    <xf borderId="5" fillId="3" fontId="2" numFmtId="0" xfId="0" applyBorder="1" applyFont="1"/>
    <xf borderId="0" fillId="2" fontId="2" numFmtId="0" xfId="0" applyAlignment="1" applyFont="1">
      <alignment readingOrder="0"/>
    </xf>
    <xf borderId="0" fillId="2" fontId="2" numFmtId="0" xfId="0" applyAlignment="1" applyFont="1">
      <alignment horizontal="left" readingOrder="0"/>
    </xf>
    <xf borderId="0" fillId="2" fontId="2" numFmtId="0" xfId="0" applyFont="1"/>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3" fontId="3" numFmtId="0" xfId="0" applyAlignment="1" applyFont="1">
      <alignment readingOrder="0"/>
    </xf>
    <xf borderId="0" fillId="3" fontId="3" numFmtId="164" xfId="0" applyAlignment="1" applyFont="1" applyNumberFormat="1">
      <alignment readingOrder="0"/>
    </xf>
    <xf borderId="0" fillId="3" fontId="3" numFmtId="165" xfId="0" applyAlignment="1" applyFont="1" applyNumberFormat="1">
      <alignment readingOrder="0"/>
    </xf>
    <xf borderId="0" fillId="3" fontId="3" numFmtId="0" xfId="0" applyFont="1"/>
    <xf borderId="0" fillId="3" fontId="3" numFmtId="0" xfId="0" applyAlignment="1" applyFont="1">
      <alignment readingOrder="0" shrinkToFit="0" wrapText="1"/>
    </xf>
    <xf borderId="0" fillId="2" fontId="3" numFmtId="165" xfId="0" applyAlignment="1" applyFont="1" applyNumberFormat="1">
      <alignment readingOrder="0"/>
    </xf>
    <xf borderId="0" fillId="2" fontId="2"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right" readingOrder="0"/>
    </xf>
    <xf borderId="0" fillId="4" fontId="3" numFmtId="0" xfId="0" applyAlignment="1" applyFill="1" applyFont="1">
      <alignment readingOrder="0"/>
    </xf>
    <xf borderId="0" fillId="4" fontId="3" numFmtId="164" xfId="0" applyAlignment="1" applyFont="1" applyNumberFormat="1">
      <alignment readingOrder="0"/>
    </xf>
    <xf borderId="0" fillId="4" fontId="3" numFmtId="165" xfId="0" applyAlignment="1" applyFont="1" applyNumberFormat="1">
      <alignment readingOrder="0"/>
    </xf>
    <xf borderId="0" fillId="4" fontId="3" numFmtId="0" xfId="0" applyAlignment="1" applyFont="1">
      <alignment horizontal="right" readingOrder="0"/>
    </xf>
    <xf borderId="0" fillId="4" fontId="3" numFmtId="0" xfId="0" applyFont="1"/>
    <xf borderId="0" fillId="5" fontId="3" numFmtId="0" xfId="0" applyAlignment="1" applyFill="1" applyFont="1">
      <alignment horizontal="center" readingOrder="0"/>
    </xf>
    <xf borderId="0" fillId="5" fontId="3" numFmtId="0" xfId="0" applyAlignment="1" applyFont="1">
      <alignment readingOrder="0"/>
    </xf>
    <xf borderId="0" fillId="5" fontId="3" numFmtId="0" xfId="0" applyFont="1"/>
    <xf borderId="0" fillId="5" fontId="3" numFmtId="164" xfId="0" applyAlignment="1" applyFont="1" applyNumberFormat="1">
      <alignment readingOrder="0"/>
    </xf>
    <xf borderId="0" fillId="5" fontId="3" numFmtId="0" xfId="0" applyAlignment="1" applyFont="1">
      <alignment horizontal="right" readingOrder="0"/>
    </xf>
    <xf borderId="0" fillId="0" fontId="3" numFmtId="0" xfId="0" applyAlignment="1" applyFont="1">
      <alignment horizontal="center"/>
    </xf>
    <xf borderId="0" fillId="0" fontId="3" numFmtId="0" xfId="0" applyAlignment="1" applyFont="1">
      <alignment horizontal="right"/>
    </xf>
    <xf borderId="0" fillId="3" fontId="2" numFmtId="0" xfId="0" applyAlignment="1" applyFont="1">
      <alignment readingOrder="0"/>
    </xf>
    <xf borderId="0" fillId="3" fontId="2" numFmtId="0" xfId="0" applyAlignment="1" applyFont="1">
      <alignment horizontal="right" readingOrder="0"/>
    </xf>
    <xf borderId="0" fillId="3" fontId="2" numFmtId="0" xfId="0" applyAlignment="1" applyFont="1">
      <alignment readingOrder="0" shrinkToFit="0" wrapText="1"/>
    </xf>
    <xf borderId="0" fillId="3" fontId="2" numFmtId="0" xfId="0" applyFont="1"/>
    <xf borderId="0" fillId="0" fontId="3" numFmtId="0" xfId="0" applyFont="1"/>
    <xf borderId="0" fillId="0" fontId="3" numFmtId="0" xfId="0" applyAlignment="1" applyFont="1">
      <alignment shrinkToFit="0" wrapText="1"/>
    </xf>
    <xf borderId="0" fillId="0" fontId="4" numFmtId="0" xfId="0" applyAlignment="1" applyFont="1">
      <alignment readingOrder="0" shrinkToFit="0" wrapText="1"/>
    </xf>
    <xf borderId="0" fillId="3" fontId="3" numFmtId="0" xfId="0" applyAlignment="1" applyFont="1">
      <alignment horizontal="right" readingOrder="0"/>
    </xf>
    <xf borderId="0" fillId="3" fontId="3" numFmtId="0" xfId="0" applyAlignment="1" applyFont="1">
      <alignment shrinkToFit="0" wrapText="1"/>
    </xf>
    <xf borderId="0" fillId="3" fontId="5" numFmtId="0" xfId="0" applyAlignment="1" applyFont="1">
      <alignment readingOrder="0" shrinkToFit="0" wrapText="1"/>
    </xf>
    <xf borderId="0" fillId="3" fontId="3" numFmtId="0" xfId="0" applyAlignment="1" applyFont="1">
      <alignment horizontal="right"/>
    </xf>
    <xf borderId="0" fillId="3"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xf>
    <xf borderId="0" fillId="0" fontId="3" numFmtId="0" xfId="0" applyAlignment="1" applyFont="1">
      <alignment readingOrder="0" shrinkToFit="0" wrapText="1"/>
    </xf>
    <xf borderId="0" fillId="0" fontId="10" numFmtId="0" xfId="0" applyAlignment="1" applyFont="1">
      <alignment readingOrder="0"/>
    </xf>
    <xf borderId="0" fillId="6" fontId="3" numFmtId="0" xfId="0" applyAlignment="1" applyFill="1" applyFont="1">
      <alignment readingOrder="0"/>
    </xf>
    <xf borderId="0" fillId="7" fontId="2" numFmtId="0" xfId="0" applyAlignment="1" applyFill="1" applyFont="1">
      <alignment readingOrder="0"/>
    </xf>
    <xf borderId="0" fillId="7" fontId="2" numFmtId="0" xfId="0" applyAlignment="1" applyFont="1">
      <alignment shrinkToFit="0" wrapText="1"/>
    </xf>
    <xf borderId="0" fillId="7" fontId="2" numFmtId="0" xfId="0" applyFont="1"/>
    <xf borderId="0" fillId="0" fontId="3" numFmtId="166" xfId="0" applyAlignment="1" applyFont="1" applyNumberFormat="1">
      <alignment readingOrder="0"/>
    </xf>
    <xf borderId="0" fillId="3" fontId="3"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inaturalist.org/observations/367851224" TargetMode="External"/><Relationship Id="rId42" Type="http://schemas.openxmlformats.org/officeDocument/2006/relationships/hyperlink" Target="https://www.inaturalist.org/observations/367851341" TargetMode="External"/><Relationship Id="rId41" Type="http://schemas.openxmlformats.org/officeDocument/2006/relationships/hyperlink" Target="https://www.inaturalist.org/observations/367851270" TargetMode="External"/><Relationship Id="rId44" Type="http://schemas.openxmlformats.org/officeDocument/2006/relationships/hyperlink" Target="https://www.inaturalist.org/observations/367851427" TargetMode="External"/><Relationship Id="rId43" Type="http://schemas.openxmlformats.org/officeDocument/2006/relationships/hyperlink" Target="https://www.inaturalist.org/observations/367851391" TargetMode="External"/><Relationship Id="rId46" Type="http://schemas.openxmlformats.org/officeDocument/2006/relationships/hyperlink" Target="https://www.inaturalist.org/observations/367851492" TargetMode="External"/><Relationship Id="rId45" Type="http://schemas.openxmlformats.org/officeDocument/2006/relationships/hyperlink" Target="https://www.inaturalist.org/observations/367851454" TargetMode="External"/><Relationship Id="rId107" Type="http://schemas.openxmlformats.org/officeDocument/2006/relationships/hyperlink" Target="https://www.inaturalist.org/observations/369826655" TargetMode="External"/><Relationship Id="rId106" Type="http://schemas.openxmlformats.org/officeDocument/2006/relationships/hyperlink" Target="https://www.inaturalist.org/observations/369826614" TargetMode="External"/><Relationship Id="rId105" Type="http://schemas.openxmlformats.org/officeDocument/2006/relationships/hyperlink" Target="https://www.inaturalist.org/observations/369826582" TargetMode="External"/><Relationship Id="rId104" Type="http://schemas.openxmlformats.org/officeDocument/2006/relationships/hyperlink" Target="https://www.inaturalist.org/observations/369826542" TargetMode="External"/><Relationship Id="rId109" Type="http://schemas.openxmlformats.org/officeDocument/2006/relationships/hyperlink" Target="https://www.inaturalist.org/observations/369826755" TargetMode="External"/><Relationship Id="rId108" Type="http://schemas.openxmlformats.org/officeDocument/2006/relationships/hyperlink" Target="https://www.inaturalist.org/observations/369826711" TargetMode="External"/><Relationship Id="rId48" Type="http://schemas.openxmlformats.org/officeDocument/2006/relationships/hyperlink" Target="https://www.inaturalist.org/observations/367851543" TargetMode="External"/><Relationship Id="rId47" Type="http://schemas.openxmlformats.org/officeDocument/2006/relationships/hyperlink" Target="https://www.inaturalist.org/observations/367851519" TargetMode="External"/><Relationship Id="rId49" Type="http://schemas.openxmlformats.org/officeDocument/2006/relationships/hyperlink" Target="https://www.inaturalist.org/observations/367851579" TargetMode="External"/><Relationship Id="rId103" Type="http://schemas.openxmlformats.org/officeDocument/2006/relationships/hyperlink" Target="https://www.inaturalist.org/observations/369826484" TargetMode="External"/><Relationship Id="rId102" Type="http://schemas.openxmlformats.org/officeDocument/2006/relationships/hyperlink" Target="https://www.inaturalist.org/observations/369826420" TargetMode="External"/><Relationship Id="rId101" Type="http://schemas.openxmlformats.org/officeDocument/2006/relationships/hyperlink" Target="https://www.inaturalist.org/observations/369826368" TargetMode="External"/><Relationship Id="rId100" Type="http://schemas.openxmlformats.org/officeDocument/2006/relationships/hyperlink" Target="https://www.inaturalist.org/observations/369826295" TargetMode="External"/><Relationship Id="rId31" Type="http://schemas.openxmlformats.org/officeDocument/2006/relationships/hyperlink" Target="https://www.inaturalist.org/observations/367850855" TargetMode="External"/><Relationship Id="rId30" Type="http://schemas.openxmlformats.org/officeDocument/2006/relationships/hyperlink" Target="https://www.inaturalist.org/observations/367850824" TargetMode="External"/><Relationship Id="rId33" Type="http://schemas.openxmlformats.org/officeDocument/2006/relationships/hyperlink" Target="https://www.inaturalist.org/observations/367850939" TargetMode="External"/><Relationship Id="rId32" Type="http://schemas.openxmlformats.org/officeDocument/2006/relationships/hyperlink" Target="https://www.inaturalist.org/observations/367850907" TargetMode="External"/><Relationship Id="rId35" Type="http://schemas.openxmlformats.org/officeDocument/2006/relationships/hyperlink" Target="https://www.inaturalist.org/observations/367850990" TargetMode="External"/><Relationship Id="rId34" Type="http://schemas.openxmlformats.org/officeDocument/2006/relationships/hyperlink" Target="https://www.inaturalist.org/observations/367850969" TargetMode="External"/><Relationship Id="rId37" Type="http://schemas.openxmlformats.org/officeDocument/2006/relationships/hyperlink" Target="https://www.inaturalist.org/observations/367851077" TargetMode="External"/><Relationship Id="rId36" Type="http://schemas.openxmlformats.org/officeDocument/2006/relationships/hyperlink" Target="https://www.inaturalist.org/observations/367851043" TargetMode="External"/><Relationship Id="rId39" Type="http://schemas.openxmlformats.org/officeDocument/2006/relationships/hyperlink" Target="https://www.inaturalist.org/observations/367851156" TargetMode="External"/><Relationship Id="rId38" Type="http://schemas.openxmlformats.org/officeDocument/2006/relationships/hyperlink" Target="https://www.inaturalist.org/observations/367851111" TargetMode="External"/><Relationship Id="rId20" Type="http://schemas.openxmlformats.org/officeDocument/2006/relationships/hyperlink" Target="https://www.inaturalist.org/observations/367433283" TargetMode="External"/><Relationship Id="rId22" Type="http://schemas.openxmlformats.org/officeDocument/2006/relationships/hyperlink" Target="https://www.inaturalist.org/observations/363393169" TargetMode="External"/><Relationship Id="rId21" Type="http://schemas.openxmlformats.org/officeDocument/2006/relationships/hyperlink" Target="https://www.inaturalist.org/observations/363393114" TargetMode="External"/><Relationship Id="rId24" Type="http://schemas.openxmlformats.org/officeDocument/2006/relationships/hyperlink" Target="https://www.inaturalist.org/observations/363393037" TargetMode="External"/><Relationship Id="rId23" Type="http://schemas.openxmlformats.org/officeDocument/2006/relationships/hyperlink" Target="https://www.inaturalist.org/observations/363393145" TargetMode="External"/><Relationship Id="rId26" Type="http://schemas.openxmlformats.org/officeDocument/2006/relationships/hyperlink" Target="https://www.inaturalist.org/observations/367850643" TargetMode="External"/><Relationship Id="rId25" Type="http://schemas.openxmlformats.org/officeDocument/2006/relationships/hyperlink" Target="https://www.inaturalist.org/observations/367850694" TargetMode="External"/><Relationship Id="rId28" Type="http://schemas.openxmlformats.org/officeDocument/2006/relationships/hyperlink" Target="https://www.inaturalist.org/observations/367850541" TargetMode="External"/><Relationship Id="rId27" Type="http://schemas.openxmlformats.org/officeDocument/2006/relationships/hyperlink" Target="https://www.inaturalist.org/observations/367850500" TargetMode="External"/><Relationship Id="rId29" Type="http://schemas.openxmlformats.org/officeDocument/2006/relationships/hyperlink" Target="https://www.inaturalist.org/observations/367850776" TargetMode="External"/><Relationship Id="rId95" Type="http://schemas.openxmlformats.org/officeDocument/2006/relationships/hyperlink" Target="https://www.inaturalist.org/observations/369825971" TargetMode="External"/><Relationship Id="rId94" Type="http://schemas.openxmlformats.org/officeDocument/2006/relationships/hyperlink" Target="https://www.inaturalist.org/observations/369825812" TargetMode="External"/><Relationship Id="rId97" Type="http://schemas.openxmlformats.org/officeDocument/2006/relationships/hyperlink" Target="https://www.inaturalist.org/observations/369826088" TargetMode="External"/><Relationship Id="rId96" Type="http://schemas.openxmlformats.org/officeDocument/2006/relationships/hyperlink" Target="https://www.inaturalist.org/observations/369826028" TargetMode="External"/><Relationship Id="rId11" Type="http://schemas.openxmlformats.org/officeDocument/2006/relationships/hyperlink" Target="https://www.inaturalist.org/observations/363392630" TargetMode="External"/><Relationship Id="rId99" Type="http://schemas.openxmlformats.org/officeDocument/2006/relationships/hyperlink" Target="https://www.inaturalist.org/observations/369826209" TargetMode="External"/><Relationship Id="rId10" Type="http://schemas.openxmlformats.org/officeDocument/2006/relationships/hyperlink" Target="https://www.inaturalist.org/observations/363392591" TargetMode="External"/><Relationship Id="rId98" Type="http://schemas.openxmlformats.org/officeDocument/2006/relationships/hyperlink" Target="https://www.inaturalist.org/observations/369826145" TargetMode="External"/><Relationship Id="rId13" Type="http://schemas.openxmlformats.org/officeDocument/2006/relationships/hyperlink" Target="https://www.inaturalist.org/observations/363392961" TargetMode="External"/><Relationship Id="rId12" Type="http://schemas.openxmlformats.org/officeDocument/2006/relationships/hyperlink" Target="https://www.inaturalist.org/observations/363392675" TargetMode="External"/><Relationship Id="rId91" Type="http://schemas.openxmlformats.org/officeDocument/2006/relationships/hyperlink" Target="https://www.inaturalist.org/observations/369825604" TargetMode="External"/><Relationship Id="rId90" Type="http://schemas.openxmlformats.org/officeDocument/2006/relationships/hyperlink" Target="https://www.inaturalist.org/observations/369825566" TargetMode="External"/><Relationship Id="rId93" Type="http://schemas.openxmlformats.org/officeDocument/2006/relationships/hyperlink" Target="https://www.inaturalist.org/observations/369825718" TargetMode="External"/><Relationship Id="rId92" Type="http://schemas.openxmlformats.org/officeDocument/2006/relationships/hyperlink" Target="https://www.inaturalist.org/observations/369825636" TargetMode="External"/><Relationship Id="rId15" Type="http://schemas.openxmlformats.org/officeDocument/2006/relationships/hyperlink" Target="https://www.inaturalist.org/observations/363392988" TargetMode="External"/><Relationship Id="rId110" Type="http://schemas.openxmlformats.org/officeDocument/2006/relationships/hyperlink" Target="https://www.inaturalist.org/observations/369826818" TargetMode="External"/><Relationship Id="rId14" Type="http://schemas.openxmlformats.org/officeDocument/2006/relationships/hyperlink" Target="https://www.inaturalist.org/observations/363392940" TargetMode="External"/><Relationship Id="rId17" Type="http://schemas.openxmlformats.org/officeDocument/2006/relationships/hyperlink" Target="https://www.inaturalist.org/observations/363392907" TargetMode="External"/><Relationship Id="rId16" Type="http://schemas.openxmlformats.org/officeDocument/2006/relationships/hyperlink" Target="https://www.inaturalist.org/observations/363393012" TargetMode="External"/><Relationship Id="rId19" Type="http://schemas.openxmlformats.org/officeDocument/2006/relationships/hyperlink" Target="https://www.inaturalist.org/observations/363393076" TargetMode="External"/><Relationship Id="rId114" Type="http://schemas.openxmlformats.org/officeDocument/2006/relationships/drawing" Target="../drawings/drawing5.xml"/><Relationship Id="rId18" Type="http://schemas.openxmlformats.org/officeDocument/2006/relationships/hyperlink" Target="https://www.inaturalist.org/observations/363392877" TargetMode="External"/><Relationship Id="rId113" Type="http://schemas.openxmlformats.org/officeDocument/2006/relationships/hyperlink" Target="https://www.inaturalist.org/observations/369827004" TargetMode="External"/><Relationship Id="rId112" Type="http://schemas.openxmlformats.org/officeDocument/2006/relationships/hyperlink" Target="https://www.inaturalist.org/observations/369826947" TargetMode="External"/><Relationship Id="rId111" Type="http://schemas.openxmlformats.org/officeDocument/2006/relationships/hyperlink" Target="https://www.inaturalist.org/observations/369826874" TargetMode="External"/><Relationship Id="rId84" Type="http://schemas.openxmlformats.org/officeDocument/2006/relationships/hyperlink" Target="https://www.inaturalist.org/observations/369825154" TargetMode="External"/><Relationship Id="rId83" Type="http://schemas.openxmlformats.org/officeDocument/2006/relationships/hyperlink" Target="https://www.inaturalist.org/observations/368445931" TargetMode="External"/><Relationship Id="rId86" Type="http://schemas.openxmlformats.org/officeDocument/2006/relationships/hyperlink" Target="https://www.inaturalist.org/observations/369825308" TargetMode="External"/><Relationship Id="rId85" Type="http://schemas.openxmlformats.org/officeDocument/2006/relationships/hyperlink" Target="https://www.inaturalist.org/observations/369824949" TargetMode="External"/><Relationship Id="rId88" Type="http://schemas.openxmlformats.org/officeDocument/2006/relationships/hyperlink" Target="https://www.inaturalist.org/observations/369825451" TargetMode="External"/><Relationship Id="rId87" Type="http://schemas.openxmlformats.org/officeDocument/2006/relationships/hyperlink" Target="https://www.inaturalist.org/observations/369825210" TargetMode="External"/><Relationship Id="rId89" Type="http://schemas.openxmlformats.org/officeDocument/2006/relationships/hyperlink" Target="https://www.inaturalist.org/observations/369825527" TargetMode="External"/><Relationship Id="rId80" Type="http://schemas.openxmlformats.org/officeDocument/2006/relationships/hyperlink" Target="https://www.inaturalist.org/observations/368445806" TargetMode="External"/><Relationship Id="rId82" Type="http://schemas.openxmlformats.org/officeDocument/2006/relationships/hyperlink" Target="https://www.inaturalist.org/observations/368445867" TargetMode="External"/><Relationship Id="rId81" Type="http://schemas.openxmlformats.org/officeDocument/2006/relationships/hyperlink" Target="https://www.inaturalist.org/observations/368445832" TargetMode="External"/><Relationship Id="rId1" Type="http://schemas.openxmlformats.org/officeDocument/2006/relationships/hyperlink" Target="https://www.inaturalist.org/observations/363392961" TargetMode="External"/><Relationship Id="rId2" Type="http://schemas.openxmlformats.org/officeDocument/2006/relationships/hyperlink" Target="https://www.inaturalist.org/observations/363392737" TargetMode="External"/><Relationship Id="rId3" Type="http://schemas.openxmlformats.org/officeDocument/2006/relationships/hyperlink" Target="https://www.inaturalist.org/observations/363392766" TargetMode="External"/><Relationship Id="rId4" Type="http://schemas.openxmlformats.org/officeDocument/2006/relationships/hyperlink" Target="https://www.inaturalist.org/observations/363393967" TargetMode="External"/><Relationship Id="rId9" Type="http://schemas.openxmlformats.org/officeDocument/2006/relationships/hyperlink" Target="https://www.inaturalist.org/observations/363392591" TargetMode="External"/><Relationship Id="rId5" Type="http://schemas.openxmlformats.org/officeDocument/2006/relationships/hyperlink" Target="https://www.inaturalist.org/observations/363392798" TargetMode="External"/><Relationship Id="rId6" Type="http://schemas.openxmlformats.org/officeDocument/2006/relationships/hyperlink" Target="https://www.inaturalist.org/observations/363392826" TargetMode="External"/><Relationship Id="rId7" Type="http://schemas.openxmlformats.org/officeDocument/2006/relationships/hyperlink" Target="https://www.inaturalist.org/observations/363392854" TargetMode="External"/><Relationship Id="rId8" Type="http://schemas.openxmlformats.org/officeDocument/2006/relationships/hyperlink" Target="https://www.inaturalist.org/observations/363392570" TargetMode="External"/><Relationship Id="rId73" Type="http://schemas.openxmlformats.org/officeDocument/2006/relationships/hyperlink" Target="https://www.inaturalist.org/observations/368445515" TargetMode="External"/><Relationship Id="rId72" Type="http://schemas.openxmlformats.org/officeDocument/2006/relationships/hyperlink" Target="https://www.inaturalist.org/observations/368445496" TargetMode="External"/><Relationship Id="rId75" Type="http://schemas.openxmlformats.org/officeDocument/2006/relationships/hyperlink" Target="https://www.inaturalist.org/observations/368445593" TargetMode="External"/><Relationship Id="rId74" Type="http://schemas.openxmlformats.org/officeDocument/2006/relationships/hyperlink" Target="https://www.inaturalist.org/observations/368445626" TargetMode="External"/><Relationship Id="rId77" Type="http://schemas.openxmlformats.org/officeDocument/2006/relationships/hyperlink" Target="https://www.inaturalist.org/observations/368445695" TargetMode="External"/><Relationship Id="rId76" Type="http://schemas.openxmlformats.org/officeDocument/2006/relationships/hyperlink" Target="https://www.inaturalist.org/observations/368445659" TargetMode="External"/><Relationship Id="rId79" Type="http://schemas.openxmlformats.org/officeDocument/2006/relationships/hyperlink" Target="https://www.inaturalist.org/observations/368445785" TargetMode="External"/><Relationship Id="rId78" Type="http://schemas.openxmlformats.org/officeDocument/2006/relationships/hyperlink" Target="https://www.inaturalist.org/observations/368445750" TargetMode="External"/><Relationship Id="rId71" Type="http://schemas.openxmlformats.org/officeDocument/2006/relationships/hyperlink" Target="https://www.inaturalist.org/observations/368445465" TargetMode="External"/><Relationship Id="rId70" Type="http://schemas.openxmlformats.org/officeDocument/2006/relationships/hyperlink" Target="https://www.inaturalist.org/observations/368445409" TargetMode="External"/><Relationship Id="rId62" Type="http://schemas.openxmlformats.org/officeDocument/2006/relationships/hyperlink" Target="https://www.inaturalist.org/observations/368368367" TargetMode="External"/><Relationship Id="rId61" Type="http://schemas.openxmlformats.org/officeDocument/2006/relationships/hyperlink" Target="https://www.inaturalist.org/observations/368368315" TargetMode="External"/><Relationship Id="rId64" Type="http://schemas.openxmlformats.org/officeDocument/2006/relationships/hyperlink" Target="https://www.inaturalist.org/observations/368368440" TargetMode="External"/><Relationship Id="rId63" Type="http://schemas.openxmlformats.org/officeDocument/2006/relationships/hyperlink" Target="https://www.inaturalist.org/observations/368368408" TargetMode="External"/><Relationship Id="rId66" Type="http://schemas.openxmlformats.org/officeDocument/2006/relationships/hyperlink" Target="https://www.inaturalist.org/observations/368374372" TargetMode="External"/><Relationship Id="rId65" Type="http://schemas.openxmlformats.org/officeDocument/2006/relationships/hyperlink" Target="https://www.inaturalist.org/observations/368445237" TargetMode="External"/><Relationship Id="rId68" Type="http://schemas.openxmlformats.org/officeDocument/2006/relationships/hyperlink" Target="https://www.inaturalist.org/observations/368445331" TargetMode="External"/><Relationship Id="rId67" Type="http://schemas.openxmlformats.org/officeDocument/2006/relationships/hyperlink" Target="https://www.inaturalist.org/observations/368445270" TargetMode="External"/><Relationship Id="rId60" Type="http://schemas.openxmlformats.org/officeDocument/2006/relationships/hyperlink" Target="https://www.inaturalist.org/observations/368368277" TargetMode="External"/><Relationship Id="rId69" Type="http://schemas.openxmlformats.org/officeDocument/2006/relationships/hyperlink" Target="https://www.inaturalist.org/observations/368445386" TargetMode="External"/><Relationship Id="rId51" Type="http://schemas.openxmlformats.org/officeDocument/2006/relationships/hyperlink" Target="https://www.inaturalist.org/observations/367851635" TargetMode="External"/><Relationship Id="rId50" Type="http://schemas.openxmlformats.org/officeDocument/2006/relationships/hyperlink" Target="https://www.inaturalist.org/observations/367851612" TargetMode="External"/><Relationship Id="rId53" Type="http://schemas.openxmlformats.org/officeDocument/2006/relationships/hyperlink" Target="https://www.inaturalist.org/observations/367851701" TargetMode="External"/><Relationship Id="rId52" Type="http://schemas.openxmlformats.org/officeDocument/2006/relationships/hyperlink" Target="https://www.inaturalist.org/observations/367851659" TargetMode="External"/><Relationship Id="rId55" Type="http://schemas.openxmlformats.org/officeDocument/2006/relationships/hyperlink" Target="https://www.inaturalist.org/observations/368368091" TargetMode="External"/><Relationship Id="rId54" Type="http://schemas.openxmlformats.org/officeDocument/2006/relationships/hyperlink" Target="https://www.inaturalist.org/observations/368368035" TargetMode="External"/><Relationship Id="rId57" Type="http://schemas.openxmlformats.org/officeDocument/2006/relationships/hyperlink" Target="https://www.inaturalist.org/observations/368368163" TargetMode="External"/><Relationship Id="rId56" Type="http://schemas.openxmlformats.org/officeDocument/2006/relationships/hyperlink" Target="https://www.inaturalist.org/observations/368368127" TargetMode="External"/><Relationship Id="rId59" Type="http://schemas.openxmlformats.org/officeDocument/2006/relationships/hyperlink" Target="https://www.inaturalist.org/observations/368368239" TargetMode="External"/><Relationship Id="rId58" Type="http://schemas.openxmlformats.org/officeDocument/2006/relationships/hyperlink" Target="https://www.inaturalist.org/observations/36836820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5.0"/>
    <col customWidth="1" min="4" max="4" width="13.13"/>
  </cols>
  <sheetData>
    <row r="2">
      <c r="A2" s="1" t="s">
        <v>0</v>
      </c>
      <c r="B2" s="2">
        <f>B3+B4</f>
        <v>591</v>
      </c>
    </row>
    <row r="3">
      <c r="A3" s="3" t="s">
        <v>1</v>
      </c>
      <c r="B3" s="4">
        <f>sum(specimens!M:M)</f>
        <v>431</v>
      </c>
      <c r="D3" s="5" t="s">
        <v>2</v>
      </c>
      <c r="E3" s="6">
        <f>IFERROR(__xludf.DUMMYFUNCTION("COUNTUNIQUE(flowers!D:D)-1"),117.0)</f>
        <v>117</v>
      </c>
    </row>
    <row r="4">
      <c r="A4" s="7" t="s">
        <v>3</v>
      </c>
      <c r="B4" s="8">
        <f>sum(observations!E:E)</f>
        <v>160</v>
      </c>
      <c r="D4" s="7" t="s">
        <v>4</v>
      </c>
      <c r="E4" s="8">
        <f>IFERROR(__xludf.DUMMYFUNCTION("COUNTUNIQUE(other!E:E)-1"),20.0)</f>
        <v>20</v>
      </c>
    </row>
    <row r="6">
      <c r="A6" s="9" t="s">
        <v>5</v>
      </c>
      <c r="B6" s="10" t="s">
        <v>6</v>
      </c>
    </row>
    <row r="7">
      <c r="A7" s="3" t="s">
        <v>7</v>
      </c>
      <c r="B7" s="4">
        <f>sumif(specimens!H:H,A7,specimens!M:M)</f>
        <v>29</v>
      </c>
      <c r="C7" s="11" t="s">
        <v>8</v>
      </c>
    </row>
    <row r="8">
      <c r="A8" s="3" t="s">
        <v>9</v>
      </c>
      <c r="B8" s="4">
        <f>sumif(specimens!H:H,A8,specimens!M:M)</f>
        <v>12</v>
      </c>
      <c r="C8" s="11" t="s">
        <v>10</v>
      </c>
    </row>
    <row r="9">
      <c r="A9" s="3" t="s">
        <v>11</v>
      </c>
      <c r="B9" s="4">
        <f>sumif(specimens!H:H,A9,specimens!M:M)</f>
        <v>40</v>
      </c>
      <c r="C9" s="11" t="s">
        <v>11</v>
      </c>
    </row>
    <row r="10">
      <c r="A10" s="3" t="s">
        <v>12</v>
      </c>
      <c r="B10" s="4">
        <f>sumif(specimens!H:H,A10,specimens!M:M)</f>
        <v>0</v>
      </c>
      <c r="C10" s="11" t="s">
        <v>13</v>
      </c>
    </row>
    <row r="11">
      <c r="A11" s="3" t="s">
        <v>14</v>
      </c>
      <c r="B11" s="4">
        <f>sumif(specimens!H:H,A11,specimens!M:M)</f>
        <v>53</v>
      </c>
      <c r="C11" s="11" t="s">
        <v>15</v>
      </c>
    </row>
    <row r="12">
      <c r="A12" s="3" t="s">
        <v>16</v>
      </c>
      <c r="B12" s="4">
        <f>sumif(specimens!H:H,A12,specimens!M:M)</f>
        <v>16</v>
      </c>
      <c r="C12" s="11" t="s">
        <v>17</v>
      </c>
    </row>
    <row r="13">
      <c r="A13" s="3" t="s">
        <v>18</v>
      </c>
      <c r="B13" s="4">
        <f>sumif(specimens!H:H,A13,specimens!M:M)</f>
        <v>39</v>
      </c>
      <c r="C13" s="11" t="s">
        <v>19</v>
      </c>
    </row>
    <row r="14">
      <c r="A14" s="3" t="s">
        <v>20</v>
      </c>
      <c r="B14" s="4">
        <f>sumif(specimens!H:H,A14,specimens!M:M)</f>
        <v>33</v>
      </c>
      <c r="C14" s="11" t="s">
        <v>21</v>
      </c>
    </row>
    <row r="15">
      <c r="A15" s="3" t="s">
        <v>22</v>
      </c>
      <c r="B15" s="4">
        <f>sumif(specimens!H:H,A15,specimens!M:M)</f>
        <v>16</v>
      </c>
      <c r="C15" s="11" t="s">
        <v>23</v>
      </c>
    </row>
    <row r="16">
      <c r="A16" s="3" t="s">
        <v>24</v>
      </c>
      <c r="B16" s="4">
        <f>sumif(specimens!H:H,A16,specimens!M:M)</f>
        <v>47</v>
      </c>
      <c r="C16" s="11" t="s">
        <v>25</v>
      </c>
    </row>
    <row r="17">
      <c r="A17" s="3" t="s">
        <v>26</v>
      </c>
      <c r="B17" s="4">
        <f>sumif(specimens!H:H,A17,specimens!M:M)</f>
        <v>28</v>
      </c>
      <c r="C17" s="11" t="s">
        <v>27</v>
      </c>
    </row>
    <row r="18">
      <c r="A18" s="3" t="s">
        <v>28</v>
      </c>
      <c r="B18" s="4">
        <f>sumif(specimens!H:H,A18,specimens!M:M)</f>
        <v>37</v>
      </c>
      <c r="C18" s="11" t="s">
        <v>28</v>
      </c>
    </row>
    <row r="19">
      <c r="A19" s="3" t="s">
        <v>29</v>
      </c>
      <c r="B19" s="4">
        <f>sumif(specimens!H:H,A19,specimens!M:M)</f>
        <v>6</v>
      </c>
      <c r="C19" s="11" t="s">
        <v>30</v>
      </c>
    </row>
    <row r="20">
      <c r="A20" s="3" t="s">
        <v>31</v>
      </c>
      <c r="B20" s="4">
        <f>sumif(specimens!H:H,A20,specimens!M:M)</f>
        <v>19</v>
      </c>
      <c r="C20" s="11">
        <v>123.0</v>
      </c>
    </row>
    <row r="21">
      <c r="A21" s="3" t="s">
        <v>32</v>
      </c>
      <c r="B21" s="4">
        <f>sumif(specimens!H:H,A21,specimens!M:M)</f>
        <v>0</v>
      </c>
      <c r="C21" s="11" t="s">
        <v>33</v>
      </c>
    </row>
    <row r="22">
      <c r="A22" s="3" t="s">
        <v>34</v>
      </c>
      <c r="B22" s="4">
        <f>sumif(specimens!H:H,A22,specimens!M:M)</f>
        <v>1</v>
      </c>
      <c r="C22" s="11" t="s">
        <v>35</v>
      </c>
    </row>
    <row r="23">
      <c r="A23" s="12"/>
      <c r="B23" s="4"/>
      <c r="C23" s="13"/>
    </row>
    <row r="24">
      <c r="A24" s="14"/>
      <c r="B24"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5" max="5" width="8.5"/>
    <col customWidth="1" min="6" max="6" width="9.75"/>
    <col customWidth="1" min="7" max="7" width="108.63"/>
  </cols>
  <sheetData>
    <row r="1" ht="16.5" customHeight="1">
      <c r="A1" s="15" t="s">
        <v>36</v>
      </c>
      <c r="B1" s="15" t="s">
        <v>37</v>
      </c>
      <c r="C1" s="15" t="s">
        <v>38</v>
      </c>
      <c r="D1" s="15" t="s">
        <v>39</v>
      </c>
      <c r="E1" s="15" t="s">
        <v>40</v>
      </c>
      <c r="F1" s="16" t="s">
        <v>41</v>
      </c>
      <c r="G1" s="15" t="s">
        <v>42</v>
      </c>
      <c r="H1" s="17"/>
      <c r="I1" s="17"/>
      <c r="J1" s="17"/>
      <c r="K1" s="17"/>
      <c r="L1" s="17"/>
      <c r="M1" s="17"/>
      <c r="N1" s="17"/>
      <c r="O1" s="17"/>
      <c r="P1" s="17"/>
      <c r="Q1" s="17"/>
      <c r="R1" s="17"/>
      <c r="S1" s="17"/>
      <c r="T1" s="17"/>
      <c r="U1" s="17"/>
      <c r="V1" s="17"/>
      <c r="W1" s="17"/>
      <c r="X1" s="17"/>
      <c r="Y1" s="17"/>
      <c r="Z1" s="17"/>
    </row>
    <row r="2">
      <c r="A2" s="18" t="s">
        <v>18</v>
      </c>
      <c r="B2" s="18" t="str">
        <f t="array" ref="B2">xlookup(A2,addresses!A:A,addresses!B:B, "n/a")</f>
        <v>1070 E Tremont Ave, Bronx, NY</v>
      </c>
      <c r="C2" s="18" t="s">
        <v>43</v>
      </c>
      <c r="D2" s="19">
        <v>46161.0</v>
      </c>
      <c r="E2" s="20">
        <v>0.3819444444444444</v>
      </c>
      <c r="F2" s="20">
        <v>0.4027777777777778</v>
      </c>
    </row>
    <row r="3">
      <c r="A3" s="18" t="s">
        <v>20</v>
      </c>
      <c r="B3" s="18" t="str">
        <f t="array" ref="B3">xlookup(A3,addresses!A:A,addresses!B:B, "n/a")</f>
        <v>1086 E 180th St, Bronx, NY</v>
      </c>
      <c r="C3" s="18" t="s">
        <v>43</v>
      </c>
      <c r="D3" s="19">
        <v>46161.0</v>
      </c>
      <c r="E3" s="20">
        <v>0.4284722222222222</v>
      </c>
      <c r="F3" s="20">
        <v>0.44930555555555557</v>
      </c>
    </row>
    <row r="4">
      <c r="A4" s="18" t="s">
        <v>22</v>
      </c>
      <c r="B4" s="18" t="str">
        <f t="array" ref="B4">xlookup(A4,addresses!A:A,addresses!B:B, "n/a")</f>
        <v>851 Hornaday Pl, Bronx, NY</v>
      </c>
      <c r="C4" s="18" t="s">
        <v>43</v>
      </c>
      <c r="D4" s="19">
        <v>46161.0</v>
      </c>
      <c r="E4" s="20">
        <v>0.46805555555555556</v>
      </c>
      <c r="F4" s="20">
        <v>0.4888888888888889</v>
      </c>
    </row>
    <row r="5">
      <c r="A5" s="18" t="s">
        <v>18</v>
      </c>
      <c r="B5" s="18" t="str">
        <f t="array" ref="B5">xlookup(A5,addresses!A:A,addresses!B:B, "n/a")</f>
        <v>1070 E Tremont Ave, Bronx, NY</v>
      </c>
      <c r="C5" s="18" t="s">
        <v>43</v>
      </c>
      <c r="D5" s="19">
        <v>46161.0</v>
      </c>
      <c r="E5" s="20">
        <v>0.5520833333333334</v>
      </c>
      <c r="F5" s="20">
        <v>0.5729166666666666</v>
      </c>
    </row>
    <row r="6">
      <c r="A6" s="18" t="s">
        <v>20</v>
      </c>
      <c r="B6" s="18" t="str">
        <f t="array" ref="B6">xlookup(A6,addresses!A:A,addresses!B:B, "n/a")</f>
        <v>1086 E 180th St, Bronx, NY</v>
      </c>
      <c r="C6" s="18" t="s">
        <v>43</v>
      </c>
      <c r="D6" s="19">
        <v>46161.0</v>
      </c>
      <c r="E6" s="20">
        <v>0.5833333333333334</v>
      </c>
      <c r="F6" s="20">
        <v>0.6041666666666666</v>
      </c>
    </row>
    <row r="7">
      <c r="A7" s="18" t="s">
        <v>22</v>
      </c>
      <c r="B7" s="18" t="str">
        <f t="array" ref="B7">xlookup(A7,addresses!A:A,addresses!B:B, "n/a")</f>
        <v>851 Hornaday Pl, Bronx, NY</v>
      </c>
      <c r="C7" s="18" t="s">
        <v>43</v>
      </c>
      <c r="D7" s="19">
        <v>46161.0</v>
      </c>
      <c r="E7" s="20">
        <v>0.6208333333333333</v>
      </c>
      <c r="F7" s="20">
        <v>0.6416666666666667</v>
      </c>
    </row>
    <row r="8">
      <c r="A8" s="21" t="s">
        <v>7</v>
      </c>
      <c r="B8" s="18" t="str">
        <f t="array" ref="B8">xlookup(A8,addresses!A:A,addresses!B:B, "n/a")</f>
        <v>303 W 126th St, New York, NY</v>
      </c>
      <c r="C8" s="21" t="s">
        <v>44</v>
      </c>
      <c r="D8" s="22">
        <v>46171.0</v>
      </c>
      <c r="E8" s="23">
        <v>0.3923611111111111</v>
      </c>
      <c r="F8" s="23">
        <v>0.4201388888888889</v>
      </c>
      <c r="G8" s="24"/>
      <c r="H8" s="24"/>
      <c r="I8" s="24"/>
      <c r="J8" s="24"/>
      <c r="K8" s="24"/>
      <c r="L8" s="24"/>
      <c r="M8" s="24"/>
      <c r="N8" s="24"/>
      <c r="O8" s="24"/>
      <c r="P8" s="24"/>
      <c r="Q8" s="24"/>
      <c r="R8" s="24"/>
      <c r="S8" s="24"/>
      <c r="T8" s="24"/>
      <c r="U8" s="24"/>
      <c r="V8" s="24"/>
      <c r="W8" s="24"/>
      <c r="X8" s="24"/>
      <c r="Y8" s="24"/>
      <c r="Z8" s="24"/>
    </row>
    <row r="9">
      <c r="A9" s="21" t="s">
        <v>9</v>
      </c>
      <c r="B9" s="18" t="str">
        <f t="array" ref="B9">xlookup(A9,addresses!A:A,addresses!B:B, "n/a")</f>
        <v>227 W 115th St, New York, NY</v>
      </c>
      <c r="C9" s="21" t="s">
        <v>44</v>
      </c>
      <c r="D9" s="22">
        <v>46171.0</v>
      </c>
      <c r="E9" s="23">
        <v>0.4201388888888889</v>
      </c>
      <c r="F9" s="23">
        <v>0.4409722222222222</v>
      </c>
      <c r="G9" s="24"/>
      <c r="H9" s="24"/>
      <c r="I9" s="24"/>
      <c r="J9" s="24"/>
      <c r="K9" s="24"/>
      <c r="L9" s="24"/>
      <c r="M9" s="24"/>
      <c r="N9" s="24"/>
      <c r="O9" s="24"/>
      <c r="P9" s="24"/>
      <c r="Q9" s="24"/>
      <c r="R9" s="24"/>
      <c r="S9" s="24"/>
      <c r="T9" s="24"/>
      <c r="U9" s="24"/>
      <c r="V9" s="24"/>
      <c r="W9" s="24"/>
      <c r="X9" s="24"/>
      <c r="Y9" s="24"/>
      <c r="Z9" s="24"/>
    </row>
    <row r="10">
      <c r="A10" s="21" t="s">
        <v>11</v>
      </c>
      <c r="B10" s="18" t="str">
        <f t="array" ref="B10">xlookup(A10,addresses!A:A,addresses!B:B, "n/a")</f>
        <v>237 W 111th St, New York, NY</v>
      </c>
      <c r="C10" s="21" t="s">
        <v>44</v>
      </c>
      <c r="D10" s="22">
        <v>46171.0</v>
      </c>
      <c r="E10" s="23">
        <v>0.4409722222222222</v>
      </c>
      <c r="F10" s="23">
        <v>0.45694444444444443</v>
      </c>
      <c r="G10" s="24"/>
      <c r="H10" s="24"/>
      <c r="I10" s="24"/>
      <c r="J10" s="24"/>
      <c r="K10" s="24"/>
      <c r="L10" s="24"/>
      <c r="M10" s="24"/>
      <c r="N10" s="24"/>
      <c r="O10" s="24"/>
      <c r="P10" s="24"/>
      <c r="Q10" s="24"/>
      <c r="R10" s="24"/>
      <c r="S10" s="24"/>
      <c r="T10" s="24"/>
      <c r="U10" s="24"/>
      <c r="V10" s="24"/>
      <c r="W10" s="24"/>
      <c r="X10" s="24"/>
      <c r="Y10" s="24"/>
      <c r="Z10" s="24"/>
    </row>
    <row r="11">
      <c r="A11" s="21" t="s">
        <v>45</v>
      </c>
      <c r="B11" s="18" t="str">
        <f t="array" ref="B11">xlookup(A11,addresses!A:A,addresses!B:B, "n/a")</f>
        <v>52 E 117th St, New York, NY</v>
      </c>
      <c r="C11" s="21" t="s">
        <v>44</v>
      </c>
      <c r="D11" s="22">
        <v>46171.0</v>
      </c>
      <c r="E11" s="23">
        <v>0.4618055555555556</v>
      </c>
      <c r="F11" s="23">
        <v>0.4791666666666667</v>
      </c>
      <c r="G11" s="21" t="s">
        <v>46</v>
      </c>
      <c r="H11" s="24"/>
      <c r="I11" s="24"/>
      <c r="J11" s="24"/>
      <c r="K11" s="24"/>
      <c r="L11" s="24"/>
      <c r="M11" s="24"/>
      <c r="N11" s="24"/>
      <c r="O11" s="24"/>
      <c r="P11" s="24"/>
      <c r="Q11" s="24"/>
      <c r="R11" s="24"/>
      <c r="S11" s="24"/>
      <c r="T11" s="24"/>
      <c r="U11" s="24"/>
      <c r="V11" s="24"/>
      <c r="W11" s="24"/>
      <c r="X11" s="24"/>
      <c r="Y11" s="24"/>
      <c r="Z11" s="24"/>
    </row>
    <row r="12">
      <c r="A12" s="21" t="s">
        <v>14</v>
      </c>
      <c r="B12" s="18" t="str">
        <f t="array" ref="B12">xlookup(A12,addresses!A:A,addresses!B:B, "n/a")</f>
        <v>1665 Park Ave, New York, NY</v>
      </c>
      <c r="C12" s="21" t="s">
        <v>44</v>
      </c>
      <c r="D12" s="22">
        <v>46171.0</v>
      </c>
      <c r="E12" s="23">
        <v>0.4722222222222222</v>
      </c>
      <c r="F12" s="23">
        <v>0.4909722222222222</v>
      </c>
      <c r="G12" s="21" t="s">
        <v>47</v>
      </c>
      <c r="H12" s="24"/>
      <c r="I12" s="24"/>
      <c r="J12" s="24"/>
      <c r="K12" s="24"/>
      <c r="L12" s="24"/>
      <c r="M12" s="24"/>
      <c r="N12" s="24"/>
      <c r="O12" s="24"/>
      <c r="P12" s="24"/>
      <c r="Q12" s="24"/>
      <c r="R12" s="24"/>
      <c r="S12" s="24"/>
      <c r="T12" s="24"/>
      <c r="U12" s="24"/>
      <c r="V12" s="24"/>
      <c r="W12" s="24"/>
      <c r="X12" s="24"/>
      <c r="Y12" s="24"/>
      <c r="Z12" s="24"/>
    </row>
    <row r="13">
      <c r="A13" s="21" t="s">
        <v>16</v>
      </c>
      <c r="B13" s="18" t="str">
        <f t="array" ref="B13">xlookup(A13,addresses!A:A,addresses!B:B, "n/a")</f>
        <v>1891 Lexington Ave, New York, NY</v>
      </c>
      <c r="C13" s="21" t="s">
        <v>44</v>
      </c>
      <c r="D13" s="22">
        <v>46171.0</v>
      </c>
      <c r="E13" s="23">
        <v>0.4826388888888889</v>
      </c>
      <c r="F13" s="23">
        <v>0.5</v>
      </c>
      <c r="G13" s="21" t="s">
        <v>48</v>
      </c>
      <c r="H13" s="24"/>
      <c r="I13" s="24"/>
      <c r="J13" s="24"/>
      <c r="K13" s="24"/>
      <c r="L13" s="24"/>
      <c r="M13" s="24"/>
      <c r="N13" s="24"/>
      <c r="O13" s="24"/>
      <c r="P13" s="24"/>
      <c r="Q13" s="24"/>
      <c r="R13" s="24"/>
      <c r="S13" s="24"/>
      <c r="T13" s="24"/>
      <c r="U13" s="24"/>
      <c r="V13" s="24"/>
      <c r="W13" s="24"/>
      <c r="X13" s="24"/>
      <c r="Y13" s="24"/>
      <c r="Z13" s="24"/>
    </row>
    <row r="14">
      <c r="A14" s="21" t="s">
        <v>18</v>
      </c>
      <c r="B14" s="18" t="str">
        <f t="array" ref="B14">xlookup(A14,addresses!A:A,addresses!B:B, "n/a")</f>
        <v>1070 E Tremont Ave, Bronx, NY</v>
      </c>
      <c r="C14" s="21" t="s">
        <v>44</v>
      </c>
      <c r="D14" s="22">
        <v>46171.0</v>
      </c>
      <c r="E14" s="23">
        <v>0.6444444444444445</v>
      </c>
      <c r="F14" s="23">
        <v>0.5590277777777778</v>
      </c>
      <c r="G14" s="21" t="s">
        <v>49</v>
      </c>
      <c r="H14" s="24"/>
      <c r="I14" s="24"/>
      <c r="J14" s="24"/>
      <c r="K14" s="24"/>
      <c r="L14" s="24"/>
      <c r="M14" s="24"/>
      <c r="N14" s="24"/>
      <c r="O14" s="24"/>
      <c r="P14" s="24"/>
      <c r="Q14" s="24"/>
      <c r="R14" s="24"/>
      <c r="S14" s="24"/>
      <c r="T14" s="24"/>
      <c r="U14" s="24"/>
      <c r="V14" s="24"/>
      <c r="W14" s="24"/>
      <c r="X14" s="24"/>
      <c r="Y14" s="24"/>
      <c r="Z14" s="24"/>
    </row>
    <row r="15">
      <c r="A15" s="21" t="s">
        <v>20</v>
      </c>
      <c r="B15" s="18" t="str">
        <f t="array" ref="B15">xlookup(A15,addresses!A:A,addresses!B:B, "n/a")</f>
        <v>1086 E 180th St, Bronx, NY</v>
      </c>
      <c r="C15" s="21" t="s">
        <v>44</v>
      </c>
      <c r="D15" s="22">
        <v>46171.0</v>
      </c>
      <c r="E15" s="23">
        <v>0.6666666666666666</v>
      </c>
      <c r="F15" s="23">
        <v>0.5902777777777778</v>
      </c>
      <c r="G15" s="21" t="s">
        <v>50</v>
      </c>
      <c r="H15" s="24"/>
      <c r="I15" s="24"/>
      <c r="J15" s="24"/>
      <c r="K15" s="24"/>
      <c r="L15" s="24"/>
      <c r="M15" s="24"/>
      <c r="N15" s="24"/>
      <c r="O15" s="24"/>
      <c r="P15" s="24"/>
      <c r="Q15" s="24"/>
      <c r="R15" s="24"/>
      <c r="S15" s="24"/>
      <c r="T15" s="24"/>
      <c r="U15" s="24"/>
      <c r="V15" s="24"/>
      <c r="W15" s="24"/>
      <c r="X15" s="24"/>
      <c r="Y15" s="24"/>
      <c r="Z15" s="24"/>
    </row>
    <row r="16">
      <c r="A16" s="21" t="s">
        <v>22</v>
      </c>
      <c r="B16" s="18" t="str">
        <f t="array" ref="B16">xlookup(A16,addresses!A:A,addresses!B:B, "n/a")</f>
        <v>851 Hornaday Pl, Bronx, NY</v>
      </c>
      <c r="C16" s="21" t="s">
        <v>44</v>
      </c>
      <c r="D16" s="22">
        <v>46171.0</v>
      </c>
      <c r="E16" s="23">
        <v>0.6875</v>
      </c>
      <c r="F16" s="23">
        <v>0.6041666666666666</v>
      </c>
      <c r="G16" s="24"/>
      <c r="H16" s="24"/>
      <c r="I16" s="24"/>
      <c r="J16" s="24"/>
      <c r="K16" s="24"/>
      <c r="L16" s="24"/>
      <c r="M16" s="24"/>
      <c r="N16" s="24"/>
      <c r="O16" s="24"/>
      <c r="P16" s="24"/>
      <c r="Q16" s="24"/>
      <c r="R16" s="24"/>
      <c r="S16" s="24"/>
      <c r="T16" s="24"/>
      <c r="U16" s="24"/>
      <c r="V16" s="24"/>
      <c r="W16" s="24"/>
      <c r="X16" s="24"/>
      <c r="Y16" s="24"/>
      <c r="Z16" s="24"/>
    </row>
    <row r="17">
      <c r="A17" s="21" t="s">
        <v>24</v>
      </c>
      <c r="B17" s="18" t="str">
        <f t="array" ref="B17">xlookup(A17,addresses!A:A,addresses!B:B, "n/a")</f>
        <v>2160 Prospect Avenue</v>
      </c>
      <c r="C17" s="21" t="s">
        <v>44</v>
      </c>
      <c r="D17" s="22">
        <v>46171.0</v>
      </c>
      <c r="E17" s="23">
        <v>0.7048611111111112</v>
      </c>
      <c r="F17" s="23">
        <v>0.6215277777777778</v>
      </c>
      <c r="G17" s="21" t="s">
        <v>51</v>
      </c>
      <c r="H17" s="24"/>
      <c r="I17" s="24"/>
      <c r="J17" s="24"/>
      <c r="K17" s="24"/>
      <c r="L17" s="24"/>
      <c r="M17" s="24"/>
      <c r="N17" s="24"/>
      <c r="O17" s="24"/>
      <c r="P17" s="24"/>
      <c r="Q17" s="24"/>
      <c r="R17" s="24"/>
      <c r="S17" s="24"/>
      <c r="T17" s="24"/>
      <c r="U17" s="24"/>
      <c r="V17" s="24"/>
      <c r="W17" s="24"/>
      <c r="X17" s="24"/>
      <c r="Y17" s="24"/>
      <c r="Z17" s="24"/>
    </row>
    <row r="18">
      <c r="A18" s="21" t="s">
        <v>26</v>
      </c>
      <c r="B18" s="18" t="str">
        <f t="array" ref="B18">xlookup(A18,addresses!A:A,addresses!B:B, "n/a")</f>
        <v>1981 Lafontaine Ave, Bronx, NY</v>
      </c>
      <c r="C18" s="21" t="s">
        <v>44</v>
      </c>
      <c r="D18" s="22">
        <v>46171.0</v>
      </c>
      <c r="E18" s="23">
        <v>0.7326388888888888</v>
      </c>
      <c r="F18" s="23">
        <v>0.6423611111111112</v>
      </c>
      <c r="G18" s="21" t="s">
        <v>52</v>
      </c>
      <c r="H18" s="24"/>
      <c r="I18" s="24"/>
      <c r="J18" s="24"/>
      <c r="K18" s="24"/>
      <c r="L18" s="24"/>
      <c r="M18" s="24"/>
      <c r="N18" s="24"/>
      <c r="O18" s="24"/>
      <c r="P18" s="24"/>
      <c r="Q18" s="24"/>
      <c r="R18" s="24"/>
      <c r="S18" s="24"/>
      <c r="T18" s="24"/>
      <c r="U18" s="24"/>
      <c r="V18" s="24"/>
      <c r="W18" s="24"/>
      <c r="X18" s="24"/>
      <c r="Y18" s="24"/>
      <c r="Z18" s="24"/>
    </row>
    <row r="19">
      <c r="A19" s="18" t="s">
        <v>7</v>
      </c>
      <c r="B19" s="18" t="str">
        <f t="array" ref="B19">xlookup(A19,addresses!A:A,addresses!B:B, "n/a")</f>
        <v>303 W 126th St, New York, NY</v>
      </c>
      <c r="C19" s="18" t="s">
        <v>43</v>
      </c>
      <c r="D19" s="19">
        <v>46175.0</v>
      </c>
      <c r="E19" s="20">
        <v>0.375</v>
      </c>
      <c r="F19" s="20">
        <v>0.9006944444444445</v>
      </c>
      <c r="G19" s="18" t="s">
        <v>53</v>
      </c>
    </row>
    <row r="20">
      <c r="A20" s="18" t="s">
        <v>9</v>
      </c>
      <c r="B20" s="18" t="str">
        <f t="array" ref="B20">xlookup(A20,addresses!A:A,addresses!B:B, "n/a")</f>
        <v>227 W 115th St, New York, NY</v>
      </c>
      <c r="C20" s="18" t="s">
        <v>43</v>
      </c>
      <c r="D20" s="19">
        <v>46175.0</v>
      </c>
      <c r="E20" s="20">
        <v>0.4215277777777778</v>
      </c>
      <c r="F20" s="20">
        <v>0.9430555555555555</v>
      </c>
      <c r="G20" s="18" t="s">
        <v>54</v>
      </c>
    </row>
    <row r="21">
      <c r="A21" s="18" t="s">
        <v>11</v>
      </c>
      <c r="B21" s="18" t="str">
        <f t="array" ref="B21">xlookup(A21,addresses!A:A,addresses!B:B, "n/a")</f>
        <v>237 W 111th St, New York, NY</v>
      </c>
      <c r="C21" s="18" t="s">
        <v>43</v>
      </c>
      <c r="D21" s="19">
        <v>46175.0</v>
      </c>
      <c r="E21" s="20">
        <v>0.45625</v>
      </c>
      <c r="F21" s="20">
        <v>0.4895833333333333</v>
      </c>
      <c r="G21" s="18" t="s">
        <v>55</v>
      </c>
    </row>
    <row r="22">
      <c r="A22" s="18" t="s">
        <v>7</v>
      </c>
      <c r="B22" s="18" t="str">
        <f t="array" ref="B22">xlookup(A22,addresses!A:A,addresses!B:B, "n/a")</f>
        <v>303 W 126th St, New York, NY</v>
      </c>
      <c r="C22" s="18" t="s">
        <v>43</v>
      </c>
      <c r="D22" s="19">
        <v>46175.0</v>
      </c>
      <c r="E22" s="20">
        <v>0.5555555555555556</v>
      </c>
      <c r="F22" s="20">
        <v>0.5833333333333334</v>
      </c>
      <c r="G22" s="18" t="s">
        <v>56</v>
      </c>
    </row>
    <row r="23">
      <c r="A23" s="18" t="s">
        <v>9</v>
      </c>
      <c r="B23" s="18" t="str">
        <f t="array" ref="B23">xlookup(A23,addresses!A:A,addresses!B:B, "n/a")</f>
        <v>227 W 115th St, New York, NY</v>
      </c>
      <c r="C23" s="18" t="s">
        <v>43</v>
      </c>
      <c r="D23" s="19">
        <v>46175.0</v>
      </c>
      <c r="E23" s="20">
        <v>0.6041666666666666</v>
      </c>
      <c r="F23" s="20">
        <v>0.6270833333333333</v>
      </c>
    </row>
    <row r="24">
      <c r="A24" s="18" t="s">
        <v>11</v>
      </c>
      <c r="B24" s="18" t="str">
        <f t="array" ref="B24">xlookup(A24,addresses!A:A,addresses!B:B, "n/a")</f>
        <v>237 W 111th St, New York, NY</v>
      </c>
      <c r="C24" s="18" t="s">
        <v>43</v>
      </c>
      <c r="D24" s="19">
        <v>46175.0</v>
      </c>
      <c r="E24" s="20">
        <v>0.6381944444444444</v>
      </c>
      <c r="F24" s="20">
        <v>0.6638888888888889</v>
      </c>
    </row>
    <row r="25">
      <c r="A25" s="21" t="s">
        <v>24</v>
      </c>
      <c r="B25" s="18" t="str">
        <f t="array" ref="B25">xlookup(A25,addresses!A:A,addresses!B:B, "n/a")</f>
        <v>2160 Prospect Avenue</v>
      </c>
      <c r="C25" s="21" t="s">
        <v>43</v>
      </c>
      <c r="D25" s="22">
        <v>46177.0</v>
      </c>
      <c r="E25" s="23">
        <v>0.35833333333333334</v>
      </c>
      <c r="F25" s="23">
        <v>0.39166666666666666</v>
      </c>
      <c r="G25" s="25" t="s">
        <v>57</v>
      </c>
      <c r="H25" s="24"/>
      <c r="I25" s="24"/>
      <c r="J25" s="24"/>
      <c r="K25" s="24"/>
      <c r="L25" s="24"/>
      <c r="M25" s="24"/>
      <c r="N25" s="24"/>
      <c r="O25" s="24"/>
      <c r="P25" s="24"/>
      <c r="Q25" s="24"/>
      <c r="R25" s="24"/>
      <c r="S25" s="24"/>
      <c r="T25" s="24"/>
      <c r="U25" s="24"/>
      <c r="V25" s="24"/>
      <c r="W25" s="24"/>
      <c r="X25" s="24"/>
      <c r="Y25" s="24"/>
      <c r="Z25" s="24"/>
    </row>
    <row r="26">
      <c r="A26" s="21" t="s">
        <v>28</v>
      </c>
      <c r="B26" s="18" t="str">
        <f t="array" ref="B26">xlookup(A26,addresses!A:A,addresses!B:B, "n/a")</f>
        <v>2485 Belmont Ave, Bronx, NY</v>
      </c>
      <c r="C26" s="21" t="s">
        <v>43</v>
      </c>
      <c r="D26" s="22">
        <v>46177.0</v>
      </c>
      <c r="E26" s="23">
        <v>0.4125</v>
      </c>
      <c r="F26" s="23">
        <v>0.4388888888888889</v>
      </c>
      <c r="G26" s="21" t="s">
        <v>58</v>
      </c>
      <c r="H26" s="24"/>
      <c r="I26" s="24"/>
      <c r="J26" s="24"/>
      <c r="K26" s="24"/>
      <c r="L26" s="24"/>
      <c r="M26" s="24"/>
      <c r="N26" s="24"/>
      <c r="O26" s="24"/>
      <c r="P26" s="24"/>
      <c r="Q26" s="24"/>
      <c r="R26" s="24"/>
      <c r="S26" s="24"/>
      <c r="T26" s="24"/>
      <c r="U26" s="24"/>
      <c r="V26" s="24"/>
      <c r="W26" s="24"/>
      <c r="X26" s="24"/>
      <c r="Y26" s="24"/>
      <c r="Z26" s="24"/>
    </row>
    <row r="27">
      <c r="A27" s="21" t="s">
        <v>26</v>
      </c>
      <c r="B27" s="18" t="str">
        <f t="array" ref="B27">xlookup(A27,addresses!A:A,addresses!B:B, "n/a")</f>
        <v>1981 Lafontaine Ave, Bronx, NY</v>
      </c>
      <c r="C27" s="21" t="s">
        <v>43</v>
      </c>
      <c r="D27" s="22">
        <v>46177.0</v>
      </c>
      <c r="E27" s="23">
        <v>0.45625</v>
      </c>
      <c r="F27" s="23">
        <v>0.48194444444444445</v>
      </c>
      <c r="G27" s="21" t="s">
        <v>59</v>
      </c>
      <c r="H27" s="24"/>
      <c r="I27" s="24"/>
      <c r="J27" s="24"/>
      <c r="K27" s="24"/>
      <c r="L27" s="24"/>
      <c r="M27" s="24"/>
      <c r="N27" s="24"/>
      <c r="O27" s="24"/>
      <c r="P27" s="24"/>
      <c r="Q27" s="24"/>
      <c r="R27" s="24"/>
      <c r="S27" s="24"/>
      <c r="T27" s="24"/>
      <c r="U27" s="24"/>
      <c r="V27" s="24"/>
      <c r="W27" s="24"/>
      <c r="X27" s="24"/>
      <c r="Y27" s="24"/>
      <c r="Z27" s="24"/>
    </row>
    <row r="28">
      <c r="A28" s="21" t="s">
        <v>24</v>
      </c>
      <c r="B28" s="18" t="str">
        <f t="array" ref="B28">xlookup(A28,addresses!A:A,addresses!B:B, "n/a")</f>
        <v>2160 Prospect Avenue</v>
      </c>
      <c r="C28" s="21" t="s">
        <v>43</v>
      </c>
      <c r="D28" s="22">
        <v>46177.0</v>
      </c>
      <c r="E28" s="23">
        <v>0.5180555555555556</v>
      </c>
      <c r="F28" s="23">
        <v>0.5416666666666666</v>
      </c>
      <c r="G28" s="24"/>
      <c r="H28" s="24"/>
      <c r="I28" s="24"/>
      <c r="J28" s="24"/>
      <c r="K28" s="24"/>
      <c r="L28" s="24"/>
      <c r="M28" s="24"/>
      <c r="N28" s="24"/>
      <c r="O28" s="24"/>
      <c r="P28" s="24"/>
      <c r="Q28" s="24"/>
      <c r="R28" s="24"/>
      <c r="S28" s="24"/>
      <c r="T28" s="24"/>
      <c r="U28" s="24"/>
      <c r="V28" s="24"/>
      <c r="W28" s="24"/>
      <c r="X28" s="24"/>
      <c r="Y28" s="24"/>
      <c r="Z28" s="24"/>
    </row>
    <row r="29">
      <c r="A29" s="21" t="s">
        <v>28</v>
      </c>
      <c r="B29" s="18" t="str">
        <f t="array" ref="B29">xlookup(A29,addresses!A:A,addresses!B:B, "n/a")</f>
        <v>2485 Belmont Ave, Bronx, NY</v>
      </c>
      <c r="C29" s="21" t="s">
        <v>43</v>
      </c>
      <c r="D29" s="22">
        <v>46177.0</v>
      </c>
      <c r="E29" s="23">
        <v>0.5597222222222222</v>
      </c>
      <c r="F29" s="23">
        <v>0.5847222222222223</v>
      </c>
      <c r="G29" s="24"/>
      <c r="H29" s="24"/>
      <c r="I29" s="24"/>
      <c r="J29" s="24"/>
      <c r="K29" s="24"/>
      <c r="L29" s="24"/>
      <c r="M29" s="24"/>
      <c r="N29" s="24"/>
      <c r="O29" s="24"/>
      <c r="P29" s="24"/>
      <c r="Q29" s="24"/>
      <c r="R29" s="24"/>
      <c r="S29" s="24"/>
      <c r="T29" s="24"/>
      <c r="U29" s="24"/>
      <c r="V29" s="24"/>
      <c r="W29" s="24"/>
      <c r="X29" s="24"/>
      <c r="Y29" s="24"/>
      <c r="Z29" s="24"/>
    </row>
    <row r="30">
      <c r="A30" s="21" t="s">
        <v>26</v>
      </c>
      <c r="B30" s="18" t="str">
        <f t="array" ref="B30">xlookup(A30,addresses!A:A,addresses!B:B, "n/a")</f>
        <v>1981 Lafontaine Ave, Bronx, NY</v>
      </c>
      <c r="C30" s="21" t="s">
        <v>43</v>
      </c>
      <c r="D30" s="22">
        <v>46177.0</v>
      </c>
      <c r="E30" s="23">
        <v>0.6111111111111112</v>
      </c>
      <c r="F30" s="23">
        <v>0.6354166666666666</v>
      </c>
      <c r="G30" s="21" t="s">
        <v>60</v>
      </c>
      <c r="H30" s="24"/>
      <c r="I30" s="24"/>
      <c r="J30" s="24"/>
      <c r="K30" s="24"/>
      <c r="L30" s="24"/>
      <c r="M30" s="24"/>
      <c r="N30" s="24"/>
      <c r="O30" s="24"/>
      <c r="P30" s="24"/>
      <c r="Q30" s="24"/>
      <c r="R30" s="24"/>
      <c r="S30" s="24"/>
      <c r="T30" s="24"/>
      <c r="U30" s="24"/>
      <c r="V30" s="24"/>
      <c r="W30" s="24"/>
      <c r="X30" s="24"/>
      <c r="Y30" s="24"/>
      <c r="Z30" s="24"/>
    </row>
    <row r="31">
      <c r="A31" s="18" t="s">
        <v>16</v>
      </c>
      <c r="B31" s="18" t="str">
        <f t="array" ref="B31">xlookup(A31,addresses!A:A,addresses!B:B, "n/a")</f>
        <v>1891 Lexington Ave, New York, NY</v>
      </c>
      <c r="C31" s="18" t="s">
        <v>43</v>
      </c>
      <c r="D31" s="19">
        <v>46181.0</v>
      </c>
      <c r="E31" s="20">
        <v>0.3923611111111111</v>
      </c>
      <c r="F31" s="20">
        <v>0.4201388888888889</v>
      </c>
    </row>
    <row r="32">
      <c r="A32" s="18" t="s">
        <v>45</v>
      </c>
      <c r="B32" s="18" t="str">
        <f t="array" ref="B32">xlookup(A32,addresses!A:A,addresses!B:B, "n/a")</f>
        <v>52 E 117th St, New York, NY</v>
      </c>
      <c r="C32" s="18" t="s">
        <v>43</v>
      </c>
      <c r="D32" s="19">
        <v>46181.0</v>
      </c>
      <c r="E32" s="20">
        <v>0.42291666666666666</v>
      </c>
      <c r="F32" s="20">
        <v>0.4479166666666667</v>
      </c>
    </row>
    <row r="33">
      <c r="A33" s="18" t="s">
        <v>14</v>
      </c>
      <c r="B33" s="18" t="str">
        <f t="array" ref="B33">xlookup(A33,addresses!A:A,addresses!B:B, "n/a")</f>
        <v>1665 Park Ave, New York, NY</v>
      </c>
      <c r="C33" s="18" t="s">
        <v>43</v>
      </c>
      <c r="D33" s="19">
        <v>46181.0</v>
      </c>
      <c r="E33" s="20">
        <v>0.4527777777777778</v>
      </c>
      <c r="F33" s="20">
        <v>0.4791666666666667</v>
      </c>
      <c r="G33" s="18" t="s">
        <v>61</v>
      </c>
    </row>
    <row r="34">
      <c r="A34" s="18" t="s">
        <v>16</v>
      </c>
      <c r="B34" s="18" t="str">
        <f t="array" ref="B34">xlookup(A34,addresses!A:A,addresses!B:B, "n/a")</f>
        <v>1891 Lexington Ave, New York, NY</v>
      </c>
      <c r="C34" s="18" t="s">
        <v>43</v>
      </c>
      <c r="D34" s="19">
        <v>46181.0</v>
      </c>
      <c r="E34" s="20">
        <v>0.5243055555555556</v>
      </c>
      <c r="F34" s="20">
        <v>0.5486111111111112</v>
      </c>
      <c r="G34" s="18" t="s">
        <v>62</v>
      </c>
    </row>
    <row r="35">
      <c r="A35" s="18" t="s">
        <v>45</v>
      </c>
      <c r="B35" s="18" t="str">
        <f t="array" ref="B35">xlookup(A35,addresses!A:A,addresses!B:B, "n/a")</f>
        <v>52 E 117th St, New York, NY</v>
      </c>
      <c r="C35" s="18" t="s">
        <v>43</v>
      </c>
      <c r="D35" s="19">
        <v>46181.0</v>
      </c>
      <c r="E35" s="20">
        <v>0.5590277777777778</v>
      </c>
      <c r="F35" s="20">
        <v>0.5833333333333334</v>
      </c>
      <c r="G35" s="18" t="s">
        <v>63</v>
      </c>
    </row>
    <row r="36">
      <c r="A36" s="18" t="s">
        <v>14</v>
      </c>
      <c r="B36" s="18" t="str">
        <f t="array" ref="B36">xlookup(A36,addresses!A:A,addresses!B:B, "n/a")</f>
        <v>1665 Park Ave, New York, NY</v>
      </c>
      <c r="C36" s="18" t="s">
        <v>43</v>
      </c>
      <c r="D36" s="19">
        <v>46181.0</v>
      </c>
      <c r="E36" s="20">
        <v>0.5888888888888889</v>
      </c>
      <c r="F36" s="20">
        <v>0.6125</v>
      </c>
    </row>
    <row r="37">
      <c r="A37" s="21" t="s">
        <v>20</v>
      </c>
      <c r="B37" s="18" t="str">
        <f t="array" ref="B37">xlookup(A37,addresses!A:A,addresses!B:B, "n/a")</f>
        <v>1086 E 180th St, Bronx, NY</v>
      </c>
      <c r="C37" s="21" t="s">
        <v>43</v>
      </c>
      <c r="D37" s="22">
        <v>46197.0</v>
      </c>
      <c r="E37" s="23">
        <v>0.3923611111111111</v>
      </c>
      <c r="F37" s="23">
        <v>0.4166666666666667</v>
      </c>
      <c r="G37" s="21" t="s">
        <v>64</v>
      </c>
      <c r="H37" s="24"/>
      <c r="I37" s="24"/>
      <c r="J37" s="24"/>
      <c r="K37" s="24"/>
      <c r="L37" s="24"/>
      <c r="M37" s="24"/>
      <c r="N37" s="24"/>
      <c r="O37" s="24"/>
      <c r="P37" s="24"/>
      <c r="Q37" s="24"/>
      <c r="R37" s="24"/>
      <c r="S37" s="24"/>
      <c r="T37" s="24"/>
      <c r="U37" s="24"/>
      <c r="V37" s="24"/>
      <c r="W37" s="24"/>
      <c r="X37" s="24"/>
      <c r="Y37" s="24"/>
      <c r="Z37" s="24"/>
    </row>
    <row r="38">
      <c r="A38" s="21" t="s">
        <v>22</v>
      </c>
      <c r="B38" s="18" t="str">
        <f t="array" ref="B38">xlookup(A38,addresses!A:A,addresses!B:B, "n/a")</f>
        <v>851 Hornaday Pl, Bronx, NY</v>
      </c>
      <c r="C38" s="21" t="s">
        <v>43</v>
      </c>
      <c r="D38" s="22">
        <v>46197.0</v>
      </c>
      <c r="E38" s="23">
        <v>0.4340277777777778</v>
      </c>
      <c r="F38" s="23">
        <v>0.4597222222222222</v>
      </c>
      <c r="G38" s="24"/>
      <c r="H38" s="24"/>
      <c r="I38" s="24"/>
      <c r="J38" s="24"/>
      <c r="K38" s="24"/>
      <c r="L38" s="24"/>
      <c r="M38" s="24"/>
      <c r="N38" s="24"/>
      <c r="O38" s="24"/>
      <c r="P38" s="24"/>
      <c r="Q38" s="24"/>
      <c r="R38" s="24"/>
      <c r="S38" s="24"/>
      <c r="T38" s="24"/>
      <c r="U38" s="24"/>
      <c r="V38" s="24"/>
      <c r="W38" s="24"/>
      <c r="X38" s="24"/>
      <c r="Y38" s="24"/>
      <c r="Z38" s="24"/>
    </row>
    <row r="39">
      <c r="A39" s="21" t="s">
        <v>65</v>
      </c>
      <c r="B39" s="18" t="str">
        <f t="array" ref="B39">xlookup(A39,addresses!A:A,addresses!B:B, "n/a")</f>
        <v>2093 Vyse Ave, Bronx, NY</v>
      </c>
      <c r="C39" s="21" t="s">
        <v>43</v>
      </c>
      <c r="D39" s="22">
        <v>46197.0</v>
      </c>
      <c r="E39" s="23">
        <v>0.4930555555555556</v>
      </c>
      <c r="F39" s="23">
        <v>0.5208333333333334</v>
      </c>
      <c r="G39" s="21" t="s">
        <v>66</v>
      </c>
      <c r="H39" s="24"/>
      <c r="I39" s="24"/>
      <c r="J39" s="24"/>
      <c r="K39" s="24"/>
      <c r="L39" s="24"/>
      <c r="M39" s="24"/>
      <c r="N39" s="24"/>
      <c r="O39" s="24"/>
      <c r="P39" s="24"/>
      <c r="Q39" s="24"/>
      <c r="R39" s="24"/>
      <c r="S39" s="24"/>
      <c r="T39" s="24"/>
      <c r="U39" s="24"/>
      <c r="V39" s="24"/>
      <c r="W39" s="24"/>
      <c r="X39" s="24"/>
      <c r="Y39" s="24"/>
      <c r="Z39" s="24"/>
    </row>
    <row r="40">
      <c r="A40" s="21" t="s">
        <v>20</v>
      </c>
      <c r="B40" s="18" t="str">
        <f t="array" ref="B40">xlookup(A40,addresses!A:A,addresses!B:B, "n/a")</f>
        <v>1086 E 180th St, Bronx, NY</v>
      </c>
      <c r="C40" s="21" t="s">
        <v>43</v>
      </c>
      <c r="D40" s="22">
        <v>46197.0</v>
      </c>
      <c r="E40" s="23">
        <v>0.5423611111111111</v>
      </c>
      <c r="F40" s="23">
        <v>0.5666666666666667</v>
      </c>
      <c r="G40" s="24"/>
      <c r="H40" s="24"/>
      <c r="I40" s="24"/>
      <c r="J40" s="24"/>
      <c r="K40" s="24"/>
      <c r="L40" s="24"/>
      <c r="M40" s="24"/>
      <c r="N40" s="24"/>
      <c r="O40" s="24"/>
      <c r="P40" s="24"/>
      <c r="Q40" s="24"/>
      <c r="R40" s="24"/>
      <c r="S40" s="24"/>
      <c r="T40" s="24"/>
      <c r="U40" s="24"/>
      <c r="V40" s="24"/>
      <c r="W40" s="24"/>
      <c r="X40" s="24"/>
      <c r="Y40" s="24"/>
      <c r="Z40" s="24"/>
    </row>
    <row r="41">
      <c r="A41" s="21" t="s">
        <v>22</v>
      </c>
      <c r="B41" s="18" t="str">
        <f t="array" ref="B41">xlookup(A41,addresses!A:A,addresses!B:B, "n/a")</f>
        <v>851 Hornaday Pl, Bronx, NY</v>
      </c>
      <c r="C41" s="21" t="s">
        <v>43</v>
      </c>
      <c r="D41" s="22">
        <v>46197.0</v>
      </c>
      <c r="E41" s="23">
        <v>0.5902777777777778</v>
      </c>
      <c r="F41" s="23">
        <v>0.6111111111111112</v>
      </c>
      <c r="G41" s="24"/>
      <c r="H41" s="24"/>
      <c r="I41" s="24"/>
      <c r="J41" s="24"/>
      <c r="K41" s="24"/>
      <c r="L41" s="24"/>
      <c r="M41" s="24"/>
      <c r="N41" s="24"/>
      <c r="O41" s="24"/>
      <c r="P41" s="24"/>
      <c r="Q41" s="24"/>
      <c r="R41" s="24"/>
      <c r="S41" s="24"/>
      <c r="T41" s="24"/>
      <c r="U41" s="24"/>
      <c r="V41" s="24"/>
      <c r="W41" s="24"/>
      <c r="X41" s="24"/>
      <c r="Y41" s="24"/>
      <c r="Z41" s="24"/>
    </row>
    <row r="42">
      <c r="A42" s="21" t="s">
        <v>65</v>
      </c>
      <c r="B42" s="18" t="str">
        <f t="array" ref="B42">xlookup(A42,addresses!A:A,addresses!B:B, "n/a")</f>
        <v>2093 Vyse Ave, Bronx, NY</v>
      </c>
      <c r="C42" s="21" t="s">
        <v>43</v>
      </c>
      <c r="D42" s="22">
        <v>46197.0</v>
      </c>
      <c r="E42" s="23">
        <v>0.6166666666666667</v>
      </c>
      <c r="F42" s="23">
        <v>0.6444444444444445</v>
      </c>
      <c r="G42" s="21" t="s">
        <v>67</v>
      </c>
      <c r="H42" s="24"/>
      <c r="I42" s="24"/>
      <c r="J42" s="24"/>
      <c r="K42" s="24"/>
      <c r="L42" s="24"/>
      <c r="M42" s="24"/>
      <c r="N42" s="24"/>
      <c r="O42" s="24"/>
      <c r="P42" s="24"/>
      <c r="Q42" s="24"/>
      <c r="R42" s="24"/>
      <c r="S42" s="24"/>
      <c r="T42" s="24"/>
      <c r="U42" s="24"/>
      <c r="V42" s="24"/>
      <c r="W42" s="24"/>
      <c r="X42" s="24"/>
      <c r="Y42" s="24"/>
      <c r="Z42" s="24"/>
    </row>
    <row r="43">
      <c r="A43" s="18" t="s">
        <v>29</v>
      </c>
      <c r="B43" s="18" t="str">
        <f t="array" ref="B43">xlookup(A43,addresses!A:A,addresses!B:B, "n/a")</f>
        <v>504 E 178th St, Bronx, NY</v>
      </c>
      <c r="C43" s="18" t="s">
        <v>43</v>
      </c>
      <c r="D43" s="19">
        <v>46198.0</v>
      </c>
      <c r="E43" s="20">
        <v>0.34375</v>
      </c>
      <c r="F43" s="20">
        <v>0.36875</v>
      </c>
    </row>
    <row r="44">
      <c r="A44" s="18" t="s">
        <v>26</v>
      </c>
      <c r="B44" s="18" t="str">
        <f t="array" ref="B44">xlookup(A44,addresses!A:A,addresses!B:B, "n/a")</f>
        <v>1981 Lafontaine Ave, Bronx, NY</v>
      </c>
      <c r="C44" s="18" t="s">
        <v>43</v>
      </c>
      <c r="D44" s="19">
        <v>46198.0</v>
      </c>
      <c r="E44" s="20">
        <v>0.3715277777777778</v>
      </c>
      <c r="F44" s="20">
        <v>0.3972222222222222</v>
      </c>
    </row>
    <row r="45">
      <c r="A45" s="18" t="s">
        <v>24</v>
      </c>
      <c r="B45" s="18" t="str">
        <f t="array" ref="B45">xlookup(A45,addresses!A:A,addresses!B:B, "n/a")</f>
        <v>2160 Prospect Avenue</v>
      </c>
      <c r="C45" s="18" t="s">
        <v>43</v>
      </c>
      <c r="D45" s="19">
        <v>46198.0</v>
      </c>
      <c r="E45" s="20">
        <v>0.4097222222222222</v>
      </c>
      <c r="F45" s="20">
        <v>0.4340277777777778</v>
      </c>
    </row>
    <row r="46">
      <c r="A46" s="18" t="s">
        <v>29</v>
      </c>
      <c r="B46" s="18" t="str">
        <f t="array" ref="B46">xlookup(A46,addresses!A:A,addresses!B:B, "n/a")</f>
        <v>504 E 178th St, Bronx, NY</v>
      </c>
      <c r="C46" s="18" t="s">
        <v>43</v>
      </c>
      <c r="D46" s="19">
        <v>46198.0</v>
      </c>
      <c r="E46" s="20">
        <v>0.4930555555555556</v>
      </c>
      <c r="F46" s="20">
        <v>0.51875</v>
      </c>
    </row>
    <row r="47">
      <c r="A47" s="18" t="s">
        <v>26</v>
      </c>
      <c r="B47" s="18" t="str">
        <f t="array" ref="B47">xlookup(A47,addresses!A:A,addresses!B:B, "n/a")</f>
        <v>1981 Lafontaine Ave, Bronx, NY</v>
      </c>
      <c r="C47" s="18" t="s">
        <v>43</v>
      </c>
      <c r="D47" s="19">
        <v>46198.0</v>
      </c>
      <c r="E47" s="20">
        <v>0.5381944444444444</v>
      </c>
      <c r="F47" s="20">
        <v>0.5625</v>
      </c>
    </row>
    <row r="48">
      <c r="A48" s="18" t="s">
        <v>24</v>
      </c>
      <c r="B48" s="18" t="str">
        <f t="array" ref="B48">xlookup(A48,addresses!A:A,addresses!B:B, "n/a")</f>
        <v>2160 Prospect Avenue</v>
      </c>
      <c r="C48" s="18" t="s">
        <v>43</v>
      </c>
      <c r="D48" s="19">
        <v>46198.0</v>
      </c>
      <c r="E48" s="20">
        <v>0.5729166666666666</v>
      </c>
      <c r="F48" s="20">
        <v>0.5972222222222222</v>
      </c>
    </row>
    <row r="49">
      <c r="A49" s="21" t="s">
        <v>7</v>
      </c>
      <c r="B49" s="18" t="str">
        <f t="array" ref="B49">xlookup(A49,addresses!A:A,addresses!B:B, "n/a")</f>
        <v>303 W 126th St, New York, NY</v>
      </c>
      <c r="C49" s="21" t="s">
        <v>44</v>
      </c>
      <c r="D49" s="22">
        <v>46201.0</v>
      </c>
      <c r="E49" s="23">
        <v>0.4444444444444444</v>
      </c>
      <c r="F49" s="23">
        <v>0.4444444444444444</v>
      </c>
      <c r="G49" s="24"/>
      <c r="H49" s="24"/>
      <c r="I49" s="24"/>
      <c r="J49" s="24"/>
      <c r="K49" s="24"/>
      <c r="L49" s="24"/>
      <c r="M49" s="24"/>
      <c r="N49" s="24"/>
      <c r="O49" s="24"/>
      <c r="P49" s="24"/>
      <c r="Q49" s="24"/>
      <c r="R49" s="24"/>
      <c r="S49" s="24"/>
      <c r="T49" s="24"/>
      <c r="U49" s="24"/>
      <c r="V49" s="24"/>
      <c r="W49" s="24"/>
      <c r="X49" s="24"/>
      <c r="Y49" s="24"/>
      <c r="Z49" s="24"/>
    </row>
    <row r="50">
      <c r="A50" s="21" t="s">
        <v>31</v>
      </c>
      <c r="B50" s="18" t="str">
        <f t="array" ref="B50">xlookup(A50,addresses!A:A,addresses!B:B, "n/a")</f>
        <v>116 W 123rd St, New York, NY</v>
      </c>
      <c r="C50" s="21" t="s">
        <v>44</v>
      </c>
      <c r="D50" s="22">
        <v>46201.0</v>
      </c>
      <c r="E50" s="23">
        <v>0.46041666666666664</v>
      </c>
      <c r="F50" s="23">
        <v>0.4618055555555556</v>
      </c>
      <c r="G50" s="24"/>
      <c r="H50" s="24"/>
      <c r="I50" s="24"/>
      <c r="J50" s="24"/>
      <c r="K50" s="24"/>
      <c r="L50" s="24"/>
      <c r="M50" s="24"/>
      <c r="N50" s="24"/>
      <c r="O50" s="24"/>
      <c r="P50" s="24"/>
      <c r="Q50" s="24"/>
      <c r="R50" s="24"/>
      <c r="S50" s="24"/>
      <c r="T50" s="24"/>
      <c r="U50" s="24"/>
      <c r="V50" s="24"/>
      <c r="W50" s="24"/>
      <c r="X50" s="24"/>
      <c r="Y50" s="24"/>
      <c r="Z50" s="24"/>
    </row>
    <row r="51">
      <c r="A51" s="21" t="s">
        <v>16</v>
      </c>
      <c r="B51" s="18" t="str">
        <f t="array" ref="B51">xlookup(A51,addresses!A:A,addresses!B:B, "n/a")</f>
        <v>1891 Lexington Ave, New York, NY</v>
      </c>
      <c r="C51" s="21" t="s">
        <v>44</v>
      </c>
      <c r="D51" s="22">
        <v>46201.0</v>
      </c>
      <c r="E51" s="23">
        <v>0.4791666666666667</v>
      </c>
      <c r="F51" s="23">
        <v>0.4798611111111111</v>
      </c>
      <c r="G51" s="24"/>
      <c r="H51" s="24"/>
      <c r="I51" s="24"/>
      <c r="J51" s="24"/>
      <c r="K51" s="24"/>
      <c r="L51" s="24"/>
      <c r="M51" s="24"/>
      <c r="N51" s="24"/>
      <c r="O51" s="24"/>
      <c r="P51" s="24"/>
      <c r="Q51" s="24"/>
      <c r="R51" s="24"/>
      <c r="S51" s="24"/>
      <c r="T51" s="24"/>
      <c r="U51" s="24"/>
      <c r="V51" s="24"/>
      <c r="W51" s="24"/>
      <c r="X51" s="24"/>
      <c r="Y51" s="24"/>
      <c r="Z51" s="24"/>
    </row>
    <row r="52">
      <c r="A52" s="21" t="s">
        <v>14</v>
      </c>
      <c r="B52" s="18" t="str">
        <f t="array" ref="B52">xlookup(A52,addresses!A:A,addresses!B:B, "n/a")</f>
        <v>1665 Park Ave, New York, NY</v>
      </c>
      <c r="C52" s="21" t="s">
        <v>44</v>
      </c>
      <c r="D52" s="22">
        <v>46201.0</v>
      </c>
      <c r="E52" s="23">
        <v>0.4895833333333333</v>
      </c>
      <c r="F52" s="23">
        <v>0.49166666666666664</v>
      </c>
      <c r="G52" s="21" t="s">
        <v>68</v>
      </c>
      <c r="H52" s="24"/>
      <c r="I52" s="24"/>
      <c r="J52" s="24"/>
      <c r="K52" s="24"/>
      <c r="L52" s="24"/>
      <c r="M52" s="24"/>
      <c r="N52" s="24"/>
      <c r="O52" s="24"/>
      <c r="P52" s="24"/>
      <c r="Q52" s="24"/>
      <c r="R52" s="24"/>
      <c r="S52" s="24"/>
      <c r="T52" s="24"/>
      <c r="U52" s="24"/>
      <c r="V52" s="24"/>
      <c r="W52" s="24"/>
      <c r="X52" s="24"/>
      <c r="Y52" s="24"/>
      <c r="Z52" s="24"/>
    </row>
    <row r="53">
      <c r="A53" s="21" t="s">
        <v>45</v>
      </c>
      <c r="B53" s="18" t="str">
        <f t="array" ref="B53">xlookup(A53,addresses!A:A,addresses!B:B, "n/a")</f>
        <v>52 E 117th St, New York, NY</v>
      </c>
      <c r="C53" s="21" t="s">
        <v>44</v>
      </c>
      <c r="D53" s="22">
        <v>46201.0</v>
      </c>
      <c r="E53" s="23">
        <v>0.5013888888888889</v>
      </c>
      <c r="F53" s="23">
        <v>0.5</v>
      </c>
      <c r="G53" s="21" t="s">
        <v>69</v>
      </c>
      <c r="H53" s="24"/>
      <c r="I53" s="24"/>
      <c r="J53" s="24"/>
      <c r="K53" s="24"/>
      <c r="L53" s="24"/>
      <c r="M53" s="24"/>
      <c r="N53" s="24"/>
      <c r="O53" s="24"/>
      <c r="P53" s="24"/>
      <c r="Q53" s="24"/>
      <c r="R53" s="24"/>
      <c r="S53" s="24"/>
      <c r="T53" s="24"/>
      <c r="U53" s="24"/>
      <c r="V53" s="24"/>
      <c r="W53" s="24"/>
      <c r="X53" s="24"/>
      <c r="Y53" s="24"/>
      <c r="Z53" s="24"/>
    </row>
    <row r="54">
      <c r="A54" s="21" t="s">
        <v>11</v>
      </c>
      <c r="B54" s="18" t="str">
        <f t="array" ref="B54">xlookup(A54,addresses!A:A,addresses!B:B, "n/a")</f>
        <v>237 W 111th St, New York, NY</v>
      </c>
      <c r="C54" s="21" t="s">
        <v>44</v>
      </c>
      <c r="D54" s="22">
        <v>46201.0</v>
      </c>
      <c r="E54" s="23">
        <v>0.5243055555555556</v>
      </c>
      <c r="F54" s="23">
        <v>0.5243055555555556</v>
      </c>
      <c r="G54" s="24"/>
      <c r="H54" s="24"/>
      <c r="I54" s="24"/>
      <c r="J54" s="24"/>
      <c r="K54" s="24"/>
      <c r="L54" s="24"/>
      <c r="M54" s="24"/>
      <c r="N54" s="24"/>
      <c r="O54" s="24"/>
      <c r="P54" s="24"/>
      <c r="Q54" s="24"/>
      <c r="R54" s="24"/>
      <c r="S54" s="24"/>
      <c r="T54" s="24"/>
      <c r="U54" s="24"/>
      <c r="V54" s="24"/>
      <c r="W54" s="24"/>
      <c r="X54" s="24"/>
      <c r="Y54" s="24"/>
      <c r="Z54" s="24"/>
    </row>
    <row r="55">
      <c r="A55" s="21" t="s">
        <v>9</v>
      </c>
      <c r="B55" s="18" t="str">
        <f t="array" ref="B55">xlookup(A55,addresses!A:A,addresses!B:B, "n/a")</f>
        <v>227 W 115th St, New York, NY</v>
      </c>
      <c r="C55" s="21" t="s">
        <v>44</v>
      </c>
      <c r="D55" s="22">
        <v>46201.0</v>
      </c>
      <c r="E55" s="23">
        <v>0.5395833333333333</v>
      </c>
      <c r="F55" s="23">
        <v>0.5361111111111111</v>
      </c>
      <c r="G55" s="24"/>
      <c r="H55" s="24"/>
      <c r="I55" s="24"/>
      <c r="J55" s="24"/>
      <c r="K55" s="24"/>
      <c r="L55" s="24"/>
      <c r="M55" s="24"/>
      <c r="N55" s="24"/>
      <c r="O55" s="24"/>
      <c r="P55" s="24"/>
      <c r="Q55" s="24"/>
      <c r="R55" s="24"/>
      <c r="S55" s="24"/>
      <c r="T55" s="24"/>
      <c r="U55" s="24"/>
      <c r="V55" s="24"/>
      <c r="W55" s="24"/>
      <c r="X55" s="24"/>
      <c r="Y55" s="24"/>
      <c r="Z55" s="24"/>
    </row>
    <row r="56">
      <c r="A56" s="21" t="s">
        <v>34</v>
      </c>
      <c r="B56" s="18" t="str">
        <f t="array" ref="B56">xlookup(A56,addresses!A:A,addresses!B:B, "n/a")</f>
        <v>145 St. Nicholas Ave, New York, NY</v>
      </c>
      <c r="C56" s="21" t="s">
        <v>44</v>
      </c>
      <c r="D56" s="22">
        <v>46201.0</v>
      </c>
      <c r="E56" s="23">
        <v>0.5555555555555556</v>
      </c>
      <c r="F56" s="26">
        <v>0.4270833333333333</v>
      </c>
      <c r="G56" s="21" t="s">
        <v>70</v>
      </c>
      <c r="H56" s="24"/>
      <c r="I56" s="24"/>
      <c r="J56" s="24"/>
      <c r="K56" s="24"/>
      <c r="L56" s="24"/>
      <c r="M56" s="24"/>
      <c r="N56" s="24"/>
      <c r="O56" s="24"/>
      <c r="P56" s="24"/>
      <c r="Q56" s="24"/>
      <c r="R56" s="24"/>
      <c r="S56" s="24"/>
      <c r="T56" s="24"/>
      <c r="U56" s="24"/>
      <c r="V56" s="24"/>
      <c r="W56" s="24"/>
      <c r="X56" s="24"/>
      <c r="Y56" s="24"/>
      <c r="Z56" s="24"/>
    </row>
    <row r="57">
      <c r="A57" s="21" t="s">
        <v>18</v>
      </c>
      <c r="B57" s="18" t="str">
        <f t="array" ref="B57">xlookup(A57,addresses!A:A,addresses!B:B, "n/a")</f>
        <v>1070 E Tremont Ave, Bronx, NY</v>
      </c>
      <c r="C57" s="21" t="s">
        <v>44</v>
      </c>
      <c r="D57" s="22">
        <v>46201.0</v>
      </c>
      <c r="E57" s="23">
        <v>0.5951388888888889</v>
      </c>
      <c r="F57" s="23">
        <v>0.5916666666666667</v>
      </c>
      <c r="G57" s="21" t="s">
        <v>71</v>
      </c>
      <c r="H57" s="24"/>
      <c r="I57" s="24"/>
      <c r="J57" s="24"/>
      <c r="K57" s="24"/>
      <c r="L57" s="24"/>
      <c r="M57" s="24"/>
      <c r="N57" s="24"/>
      <c r="O57" s="24"/>
      <c r="P57" s="24"/>
      <c r="Q57" s="24"/>
      <c r="R57" s="24"/>
      <c r="S57" s="24"/>
      <c r="T57" s="24"/>
      <c r="U57" s="24"/>
      <c r="V57" s="24"/>
      <c r="W57" s="24"/>
      <c r="X57" s="24"/>
      <c r="Y57" s="24"/>
      <c r="Z57" s="24"/>
    </row>
    <row r="58">
      <c r="A58" s="21" t="s">
        <v>20</v>
      </c>
      <c r="B58" s="18" t="str">
        <f t="array" ref="B58">xlookup(A58,addresses!A:A,addresses!B:B, "n/a")</f>
        <v>1086 E 180th St, Bronx, NY</v>
      </c>
      <c r="C58" s="21" t="s">
        <v>44</v>
      </c>
      <c r="D58" s="22">
        <v>46201.0</v>
      </c>
      <c r="E58" s="23">
        <v>0.6229166666666667</v>
      </c>
      <c r="F58" s="23">
        <v>0.6104166666666667</v>
      </c>
      <c r="G58" s="21"/>
      <c r="H58" s="24"/>
      <c r="I58" s="24"/>
      <c r="J58" s="24"/>
      <c r="K58" s="24"/>
      <c r="L58" s="24"/>
      <c r="M58" s="24"/>
      <c r="N58" s="24"/>
      <c r="O58" s="24"/>
      <c r="P58" s="24"/>
      <c r="Q58" s="24"/>
      <c r="R58" s="24"/>
      <c r="S58" s="24"/>
      <c r="T58" s="24"/>
      <c r="U58" s="24"/>
      <c r="V58" s="24"/>
      <c r="W58" s="24"/>
      <c r="X58" s="24"/>
      <c r="Y58" s="24"/>
      <c r="Z58" s="24"/>
    </row>
    <row r="59">
      <c r="A59" s="21" t="s">
        <v>65</v>
      </c>
      <c r="B59" s="18" t="str">
        <f t="array" ref="B59">xlookup(A59,addresses!A:A,addresses!B:B, "n/a")</f>
        <v>2093 Vyse Ave, Bronx, NY</v>
      </c>
      <c r="C59" s="21" t="s">
        <v>44</v>
      </c>
      <c r="D59" s="22">
        <v>46201.0</v>
      </c>
      <c r="E59" s="23">
        <v>0.6381944444444444</v>
      </c>
      <c r="F59" s="23">
        <v>0.6298611111111111</v>
      </c>
      <c r="G59" s="21" t="s">
        <v>72</v>
      </c>
      <c r="H59" s="24"/>
      <c r="I59" s="24"/>
      <c r="J59" s="24"/>
      <c r="K59" s="24"/>
      <c r="L59" s="24"/>
      <c r="M59" s="24"/>
      <c r="N59" s="24"/>
      <c r="O59" s="24"/>
      <c r="P59" s="24"/>
      <c r="Q59" s="24"/>
      <c r="R59" s="24"/>
      <c r="S59" s="24"/>
      <c r="T59" s="24"/>
      <c r="U59" s="24"/>
      <c r="V59" s="24"/>
      <c r="W59" s="24"/>
      <c r="X59" s="24"/>
      <c r="Y59" s="24"/>
      <c r="Z59" s="24"/>
    </row>
    <row r="60">
      <c r="A60" s="21" t="s">
        <v>22</v>
      </c>
      <c r="B60" s="18" t="str">
        <f t="array" ref="B60">xlookup(A60,addresses!A:A,addresses!B:B, "n/a")</f>
        <v>851 Hornaday Pl, Bronx, NY</v>
      </c>
      <c r="C60" s="21" t="s">
        <v>44</v>
      </c>
      <c r="D60" s="22">
        <v>46201.0</v>
      </c>
      <c r="E60" s="23">
        <v>0.6513888888888889</v>
      </c>
      <c r="F60" s="23">
        <v>0.64375</v>
      </c>
      <c r="G60" s="24"/>
      <c r="H60" s="24"/>
      <c r="I60" s="24"/>
      <c r="J60" s="24"/>
      <c r="K60" s="24"/>
      <c r="L60" s="24"/>
      <c r="M60" s="24"/>
      <c r="N60" s="24"/>
      <c r="O60" s="24"/>
      <c r="P60" s="24"/>
      <c r="Q60" s="24"/>
      <c r="R60" s="24"/>
      <c r="S60" s="24"/>
      <c r="T60" s="24"/>
      <c r="U60" s="24"/>
      <c r="V60" s="24"/>
      <c r="W60" s="24"/>
      <c r="X60" s="24"/>
      <c r="Y60" s="24"/>
      <c r="Z60" s="24"/>
    </row>
    <row r="61">
      <c r="A61" s="21" t="s">
        <v>24</v>
      </c>
      <c r="B61" s="18" t="str">
        <f t="array" ref="B61">xlookup(A61,addresses!A:A,addresses!B:B, "n/a")</f>
        <v>2160 Prospect Avenue</v>
      </c>
      <c r="C61" s="21" t="s">
        <v>44</v>
      </c>
      <c r="D61" s="22">
        <v>46201.0</v>
      </c>
      <c r="E61" s="23">
        <v>0.6680555555555555</v>
      </c>
      <c r="F61" s="23">
        <v>0.6576388888888889</v>
      </c>
      <c r="G61" s="24"/>
      <c r="H61" s="24"/>
      <c r="I61" s="24"/>
      <c r="J61" s="24"/>
      <c r="K61" s="24"/>
      <c r="L61" s="24"/>
      <c r="M61" s="24"/>
      <c r="N61" s="24"/>
      <c r="O61" s="24"/>
      <c r="P61" s="24"/>
      <c r="Q61" s="24"/>
      <c r="R61" s="24"/>
      <c r="S61" s="24"/>
      <c r="T61" s="24"/>
      <c r="U61" s="24"/>
      <c r="V61" s="24"/>
      <c r="W61" s="24"/>
      <c r="X61" s="24"/>
      <c r="Y61" s="24"/>
      <c r="Z61" s="24"/>
    </row>
    <row r="62">
      <c r="A62" s="21" t="s">
        <v>26</v>
      </c>
      <c r="B62" s="18" t="str">
        <f t="array" ref="B62">xlookup(A62,addresses!A:A,addresses!B:B, "n/a")</f>
        <v>1981 Lafontaine Ave, Bronx, NY</v>
      </c>
      <c r="C62" s="21" t="s">
        <v>44</v>
      </c>
      <c r="D62" s="22">
        <v>46201.0</v>
      </c>
      <c r="E62" s="23">
        <v>0.6909722222222222</v>
      </c>
      <c r="F62" s="23">
        <v>0.6784722222222223</v>
      </c>
      <c r="G62" s="21" t="s">
        <v>73</v>
      </c>
      <c r="H62" s="24"/>
      <c r="I62" s="24"/>
      <c r="J62" s="24"/>
      <c r="K62" s="24"/>
      <c r="L62" s="24"/>
      <c r="M62" s="24"/>
      <c r="N62" s="24"/>
      <c r="O62" s="24"/>
      <c r="P62" s="24"/>
      <c r="Q62" s="24"/>
      <c r="R62" s="24"/>
      <c r="S62" s="24"/>
      <c r="T62" s="24"/>
      <c r="U62" s="24"/>
      <c r="V62" s="24"/>
      <c r="W62" s="24"/>
      <c r="X62" s="24"/>
      <c r="Y62" s="24"/>
      <c r="Z62" s="24"/>
    </row>
    <row r="63">
      <c r="A63" s="21" t="s">
        <v>29</v>
      </c>
      <c r="B63" s="18" t="str">
        <f t="array" ref="B63">xlookup(A63,addresses!A:A,addresses!B:B, "n/a")</f>
        <v>504 E 178th St, Bronx, NY</v>
      </c>
      <c r="C63" s="21" t="s">
        <v>44</v>
      </c>
      <c r="D63" s="22">
        <v>46201.0</v>
      </c>
      <c r="E63" s="23">
        <v>0.7</v>
      </c>
      <c r="F63" s="23">
        <v>0.6888888888888889</v>
      </c>
      <c r="G63" s="24"/>
      <c r="H63" s="24"/>
      <c r="I63" s="24"/>
      <c r="J63" s="24"/>
      <c r="K63" s="24"/>
      <c r="L63" s="24"/>
      <c r="M63" s="24"/>
      <c r="N63" s="24"/>
      <c r="O63" s="24"/>
      <c r="P63" s="24"/>
      <c r="Q63" s="24"/>
      <c r="R63" s="24"/>
      <c r="S63" s="24"/>
      <c r="T63" s="24"/>
      <c r="U63" s="24"/>
      <c r="V63" s="24"/>
      <c r="W63" s="24"/>
      <c r="X63" s="24"/>
      <c r="Y63" s="24"/>
      <c r="Z63" s="24"/>
    </row>
    <row r="64">
      <c r="A64" s="18" t="s">
        <v>31</v>
      </c>
      <c r="B64" s="18" t="str">
        <f t="array" ref="B64">xlookup(A64,addresses!A:A,addresses!B:B, "n/a")</f>
        <v>116 W 123rd St, New York, NY</v>
      </c>
      <c r="C64" s="18" t="s">
        <v>43</v>
      </c>
      <c r="D64" s="19">
        <v>46203.0</v>
      </c>
      <c r="E64" s="20">
        <v>0.3923611111111111</v>
      </c>
      <c r="F64" s="20">
        <v>0.4166666666666667</v>
      </c>
    </row>
    <row r="65">
      <c r="A65" s="18" t="s">
        <v>11</v>
      </c>
      <c r="B65" s="18" t="str">
        <f t="array" ref="B65">xlookup(A65,addresses!A:A,addresses!B:B, "n/a")</f>
        <v>237 W 111th St, New York, NY</v>
      </c>
      <c r="C65" s="18" t="s">
        <v>43</v>
      </c>
      <c r="D65" s="19">
        <v>46203.0</v>
      </c>
      <c r="E65" s="20">
        <v>0.4354166666666667</v>
      </c>
      <c r="F65" s="20">
        <v>0.46041666666666664</v>
      </c>
    </row>
    <row r="66">
      <c r="A66" s="18" t="s">
        <v>7</v>
      </c>
      <c r="B66" s="18" t="str">
        <f t="array" ref="B66">xlookup(A66,addresses!A:A,addresses!B:B, "n/a")</f>
        <v>303 W 126th St, New York, NY</v>
      </c>
      <c r="C66" s="18" t="s">
        <v>43</v>
      </c>
      <c r="D66" s="19">
        <v>46203.0</v>
      </c>
      <c r="E66" s="20">
        <v>0.47638888888888886</v>
      </c>
      <c r="F66" s="20">
        <v>0.5013888888888889</v>
      </c>
      <c r="G66" s="18" t="s">
        <v>74</v>
      </c>
    </row>
    <row r="67">
      <c r="A67" s="18" t="s">
        <v>31</v>
      </c>
      <c r="B67" s="18" t="str">
        <f t="array" ref="B67">xlookup(A67,addresses!A:A,addresses!B:B, "n/a")</f>
        <v>116 W 123rd St, New York, NY</v>
      </c>
      <c r="C67" s="18" t="s">
        <v>43</v>
      </c>
      <c r="D67" s="19">
        <v>46203.0</v>
      </c>
      <c r="E67" s="20">
        <v>0.5590277777777778</v>
      </c>
      <c r="F67" s="20">
        <v>0.5833333333333334</v>
      </c>
      <c r="G67" s="18" t="s">
        <v>75</v>
      </c>
    </row>
    <row r="68">
      <c r="A68" s="18" t="s">
        <v>11</v>
      </c>
      <c r="B68" s="18" t="str">
        <f t="array" ref="B68">xlookup(A68,addresses!A:A,addresses!B:B, "n/a")</f>
        <v>237 W 111th St, New York, NY</v>
      </c>
      <c r="C68" s="18" t="s">
        <v>43</v>
      </c>
      <c r="D68" s="19">
        <v>46203.0</v>
      </c>
      <c r="E68" s="20">
        <v>0.6076388888888888</v>
      </c>
      <c r="F68" s="20">
        <v>0.6354166666666666</v>
      </c>
      <c r="G68" s="18" t="s">
        <v>76</v>
      </c>
    </row>
    <row r="69">
      <c r="A69" s="18" t="s">
        <v>7</v>
      </c>
      <c r="B69" s="18" t="str">
        <f t="array" ref="B69">xlookup(A69,addresses!A:A,addresses!B:B, "n/a")</f>
        <v>303 W 126th St, New York, NY</v>
      </c>
      <c r="C69" s="18" t="s">
        <v>43</v>
      </c>
      <c r="D69" s="19">
        <v>46203.0</v>
      </c>
      <c r="E69" s="20">
        <v>0.6770833333333334</v>
      </c>
      <c r="F69" s="20">
        <v>0.6979166666666666</v>
      </c>
    </row>
    <row r="70">
      <c r="A70" s="21" t="s">
        <v>9</v>
      </c>
      <c r="B70" s="18" t="str">
        <f t="array" ref="B70">xlookup(A70,addresses!A:A,addresses!B:B, "n/a")</f>
        <v>227 W 115th St, New York, NY</v>
      </c>
      <c r="C70" s="21" t="s">
        <v>43</v>
      </c>
      <c r="D70" s="22">
        <v>46211.0</v>
      </c>
      <c r="E70" s="23">
        <v>0.35833333333333334</v>
      </c>
      <c r="F70" s="23">
        <v>0.3819444444444444</v>
      </c>
      <c r="G70" s="24"/>
      <c r="H70" s="24"/>
      <c r="I70" s="24"/>
      <c r="J70" s="24"/>
      <c r="K70" s="24"/>
      <c r="L70" s="24"/>
      <c r="M70" s="24"/>
      <c r="N70" s="24"/>
      <c r="O70" s="24"/>
      <c r="P70" s="24"/>
      <c r="Q70" s="24"/>
      <c r="R70" s="24"/>
      <c r="S70" s="24"/>
      <c r="T70" s="24"/>
      <c r="U70" s="24"/>
      <c r="V70" s="24"/>
      <c r="W70" s="24"/>
      <c r="X70" s="24"/>
      <c r="Y70" s="24"/>
      <c r="Z70" s="24"/>
    </row>
    <row r="71">
      <c r="A71" s="21" t="s">
        <v>45</v>
      </c>
      <c r="B71" s="18" t="str">
        <f t="array" ref="B71">xlookup(A71,addresses!A:A,addresses!B:B, "n/a")</f>
        <v>52 E 117th St, New York, NY</v>
      </c>
      <c r="C71" s="21" t="s">
        <v>43</v>
      </c>
      <c r="D71" s="22">
        <v>46211.0</v>
      </c>
      <c r="E71" s="23">
        <v>0.3958333333333333</v>
      </c>
      <c r="F71" s="23">
        <v>0.4173611111111111</v>
      </c>
      <c r="G71" s="21" t="s">
        <v>77</v>
      </c>
      <c r="H71" s="24"/>
      <c r="I71" s="24"/>
      <c r="J71" s="24"/>
      <c r="K71" s="24"/>
      <c r="L71" s="24"/>
      <c r="M71" s="24"/>
      <c r="N71" s="24"/>
      <c r="O71" s="24"/>
      <c r="P71" s="24"/>
      <c r="Q71" s="24"/>
      <c r="R71" s="24"/>
      <c r="S71" s="24"/>
      <c r="T71" s="24"/>
      <c r="U71" s="24"/>
      <c r="V71" s="24"/>
      <c r="W71" s="24"/>
      <c r="X71" s="24"/>
      <c r="Y71" s="24"/>
      <c r="Z71" s="24"/>
    </row>
    <row r="72">
      <c r="A72" s="21" t="s">
        <v>14</v>
      </c>
      <c r="B72" s="18" t="str">
        <f t="array" ref="B72">xlookup(A72,addresses!A:A,addresses!B:B, "n/a")</f>
        <v>1665 Park Ave, New York, NY</v>
      </c>
      <c r="C72" s="21" t="s">
        <v>43</v>
      </c>
      <c r="D72" s="22">
        <v>46211.0</v>
      </c>
      <c r="E72" s="23">
        <v>0.4215277777777778</v>
      </c>
      <c r="F72" s="23">
        <v>0.4465277777777778</v>
      </c>
      <c r="G72" s="24"/>
      <c r="H72" s="24"/>
      <c r="I72" s="24"/>
      <c r="J72" s="24"/>
      <c r="K72" s="24"/>
      <c r="L72" s="24"/>
      <c r="M72" s="24"/>
      <c r="N72" s="24"/>
      <c r="O72" s="24"/>
      <c r="P72" s="24"/>
      <c r="Q72" s="24"/>
      <c r="R72" s="24"/>
      <c r="S72" s="24"/>
      <c r="T72" s="24"/>
      <c r="U72" s="24"/>
      <c r="V72" s="24"/>
      <c r="W72" s="24"/>
      <c r="X72" s="24"/>
      <c r="Y72" s="24"/>
      <c r="Z72" s="24"/>
    </row>
    <row r="73">
      <c r="A73" s="21" t="s">
        <v>16</v>
      </c>
      <c r="B73" s="18" t="str">
        <f t="array" ref="B73">xlookup(A73,addresses!A:A,addresses!B:B, "n/a")</f>
        <v>1891 Lexington Ave, New York, NY</v>
      </c>
      <c r="C73" s="21" t="s">
        <v>43</v>
      </c>
      <c r="D73" s="22">
        <v>46211.0</v>
      </c>
      <c r="E73" s="23">
        <v>0.4548611111111111</v>
      </c>
      <c r="F73" s="23">
        <v>0.4791666666666667</v>
      </c>
      <c r="G73" s="21" t="s">
        <v>78</v>
      </c>
      <c r="H73" s="24"/>
      <c r="I73" s="24"/>
      <c r="J73" s="24"/>
      <c r="K73" s="24"/>
      <c r="L73" s="24"/>
      <c r="M73" s="24"/>
      <c r="N73" s="24"/>
      <c r="O73" s="24"/>
      <c r="P73" s="24"/>
      <c r="Q73" s="24"/>
      <c r="R73" s="24"/>
      <c r="S73" s="24"/>
      <c r="T73" s="24"/>
      <c r="U73" s="24"/>
      <c r="V73" s="24"/>
      <c r="W73" s="24"/>
      <c r="X73" s="24"/>
      <c r="Y73" s="24"/>
      <c r="Z73" s="24"/>
    </row>
    <row r="74">
      <c r="A74" s="21" t="s">
        <v>45</v>
      </c>
      <c r="B74" s="18" t="str">
        <f t="array" ref="B74">xlookup(A74,addresses!A:A,addresses!B:B, "n/a")</f>
        <v>52 E 117th St, New York, NY</v>
      </c>
      <c r="C74" s="21" t="s">
        <v>43</v>
      </c>
      <c r="D74" s="22">
        <v>46211.0</v>
      </c>
      <c r="E74" s="23">
        <v>0.5131944444444444</v>
      </c>
      <c r="F74" s="23">
        <v>0.5381944444444444</v>
      </c>
      <c r="G74" s="21" t="s">
        <v>79</v>
      </c>
      <c r="H74" s="24"/>
      <c r="I74" s="24"/>
      <c r="J74" s="24"/>
      <c r="K74" s="24"/>
      <c r="L74" s="24"/>
      <c r="M74" s="24"/>
      <c r="N74" s="24"/>
      <c r="O74" s="24"/>
      <c r="P74" s="24"/>
      <c r="Q74" s="24"/>
      <c r="R74" s="24"/>
      <c r="S74" s="24"/>
      <c r="T74" s="24"/>
      <c r="U74" s="24"/>
      <c r="V74" s="24"/>
      <c r="W74" s="24"/>
      <c r="X74" s="24"/>
      <c r="Y74" s="24"/>
      <c r="Z74" s="24"/>
    </row>
    <row r="75">
      <c r="A75" s="21" t="s">
        <v>14</v>
      </c>
      <c r="B75" s="18" t="str">
        <f t="array" ref="B75">xlookup(A75,addresses!A:A,addresses!B:B, "n/a")</f>
        <v>1665 Park Ave, New York, NY</v>
      </c>
      <c r="C75" s="21" t="s">
        <v>43</v>
      </c>
      <c r="D75" s="22">
        <v>46211.0</v>
      </c>
      <c r="E75" s="23">
        <v>0.5729166666666666</v>
      </c>
      <c r="F75" s="23">
        <v>0.6</v>
      </c>
      <c r="G75" s="24"/>
      <c r="H75" s="24"/>
      <c r="I75" s="24"/>
      <c r="J75" s="24"/>
      <c r="K75" s="24"/>
      <c r="L75" s="24"/>
      <c r="M75" s="24"/>
      <c r="N75" s="24"/>
      <c r="O75" s="24"/>
      <c r="P75" s="24"/>
      <c r="Q75" s="24"/>
      <c r="R75" s="24"/>
      <c r="S75" s="24"/>
      <c r="T75" s="24"/>
      <c r="U75" s="24"/>
      <c r="V75" s="24"/>
      <c r="W75" s="24"/>
      <c r="X75" s="24"/>
      <c r="Y75" s="24"/>
      <c r="Z75" s="24"/>
    </row>
    <row r="76">
      <c r="A76" s="21" t="s">
        <v>16</v>
      </c>
      <c r="B76" s="18" t="str">
        <f t="array" ref="B76">xlookup(A76,addresses!A:A,addresses!B:B, "n/a")</f>
        <v>1891 Lexington Ave, New York, NY</v>
      </c>
      <c r="C76" s="21" t="s">
        <v>43</v>
      </c>
      <c r="D76" s="22">
        <v>46211.0</v>
      </c>
      <c r="E76" s="23">
        <v>0.6069444444444444</v>
      </c>
      <c r="F76" s="23">
        <v>0.6486111111111111</v>
      </c>
      <c r="G76" s="24"/>
      <c r="H76" s="24"/>
      <c r="I76" s="24"/>
      <c r="J76" s="24"/>
      <c r="K76" s="24"/>
      <c r="L76" s="24"/>
      <c r="M76" s="24"/>
      <c r="N76" s="24"/>
      <c r="O76" s="24"/>
      <c r="P76" s="24"/>
      <c r="Q76" s="24"/>
      <c r="R76" s="24"/>
      <c r="S76" s="24"/>
      <c r="T76" s="24"/>
      <c r="U76" s="24"/>
      <c r="V76" s="24"/>
      <c r="W76" s="24"/>
      <c r="X76" s="24"/>
      <c r="Y76" s="24"/>
      <c r="Z76" s="24"/>
    </row>
    <row r="77">
      <c r="A77" s="21" t="s">
        <v>9</v>
      </c>
      <c r="B77" s="18" t="str">
        <f t="array" ref="B77">xlookup(A77,addresses!A:A,addresses!B:B, "n/a")</f>
        <v>227 W 115th St, New York, NY</v>
      </c>
      <c r="C77" s="21" t="s">
        <v>43</v>
      </c>
      <c r="D77" s="22">
        <v>46211.0</v>
      </c>
      <c r="E77" s="23">
        <v>0.6423611111111112</v>
      </c>
      <c r="F77" s="23">
        <v>0.6666666666666666</v>
      </c>
      <c r="G77" s="24"/>
      <c r="H77" s="24"/>
      <c r="I77" s="24"/>
      <c r="J77" s="24"/>
      <c r="K77" s="24"/>
      <c r="L77" s="24"/>
      <c r="M77" s="24"/>
      <c r="N77" s="24"/>
      <c r="O77" s="24"/>
      <c r="P77" s="24"/>
      <c r="Q77" s="24"/>
      <c r="R77" s="24"/>
      <c r="S77" s="24"/>
      <c r="T77" s="24"/>
      <c r="U77" s="24"/>
      <c r="V77" s="24"/>
      <c r="W77" s="24"/>
      <c r="X77" s="24"/>
      <c r="Y77" s="24"/>
      <c r="Z77" s="24"/>
    </row>
    <row r="78">
      <c r="A78" s="18" t="s">
        <v>18</v>
      </c>
      <c r="B78" s="18" t="str">
        <f t="array" ref="B78">xlookup(A78,addresses!A:A,addresses!B:B, "n/a")</f>
        <v>1070 E Tremont Ave, Bronx, NY</v>
      </c>
      <c r="C78" s="18" t="s">
        <v>43</v>
      </c>
      <c r="D78" s="19">
        <v>13340.0</v>
      </c>
      <c r="E78" s="20">
        <v>0.4305555555555556</v>
      </c>
      <c r="F78" s="20">
        <v>0.4583333333333333</v>
      </c>
      <c r="G78" s="18" t="s">
        <v>80</v>
      </c>
    </row>
    <row r="79">
      <c r="A79" s="18" t="s">
        <v>18</v>
      </c>
      <c r="B79" s="18" t="str">
        <f t="array" ref="B79">xlookup(A79,addresses!A:A,addresses!B:B, "n/a")</f>
        <v>1070 E Tremont Ave, Bronx, NY</v>
      </c>
      <c r="C79" s="18" t="s">
        <v>43</v>
      </c>
      <c r="D79" s="19">
        <v>46212.0</v>
      </c>
      <c r="E79" s="20">
        <v>0.5680555555555555</v>
      </c>
      <c r="F79" s="20">
        <v>0.5902777777777778</v>
      </c>
      <c r="G79" s="18" t="s">
        <v>81</v>
      </c>
    </row>
    <row r="80">
      <c r="A80" s="21" t="s">
        <v>28</v>
      </c>
      <c r="B80" s="18" t="str">
        <f t="array" ref="B80">xlookup(A80,addresses!A:A,addresses!B:B, "n/a")</f>
        <v>2485 Belmont Ave, Bronx, NY</v>
      </c>
      <c r="C80" s="21" t="s">
        <v>43</v>
      </c>
      <c r="D80" s="22">
        <v>46213.0</v>
      </c>
      <c r="E80" s="23">
        <v>0.34930555555555554</v>
      </c>
      <c r="F80" s="23">
        <v>0.8743055555555556</v>
      </c>
      <c r="G80" s="24"/>
      <c r="H80" s="24"/>
      <c r="I80" s="24"/>
      <c r="J80" s="24"/>
      <c r="K80" s="24"/>
      <c r="L80" s="24"/>
      <c r="M80" s="24"/>
      <c r="N80" s="24"/>
      <c r="O80" s="24"/>
      <c r="P80" s="24"/>
      <c r="Q80" s="24"/>
      <c r="R80" s="24"/>
      <c r="S80" s="24"/>
      <c r="T80" s="24"/>
      <c r="U80" s="24"/>
      <c r="V80" s="24"/>
      <c r="W80" s="24"/>
      <c r="X80" s="24"/>
      <c r="Y80" s="24"/>
      <c r="Z80" s="24"/>
    </row>
    <row r="81">
      <c r="A81" s="21" t="s">
        <v>28</v>
      </c>
      <c r="B81" s="18" t="str">
        <f t="array" ref="B81">xlookup(A81,addresses!A:A,addresses!B:B, "n/a")</f>
        <v>2485 Belmont Ave, Bronx, NY</v>
      </c>
      <c r="C81" s="21" t="s">
        <v>43</v>
      </c>
      <c r="D81" s="22">
        <v>46213.0</v>
      </c>
      <c r="E81" s="24"/>
      <c r="F81" s="24"/>
      <c r="G81" s="24"/>
      <c r="H81" s="24"/>
      <c r="I81" s="24"/>
      <c r="J81" s="24"/>
      <c r="K81" s="24"/>
      <c r="L81" s="24"/>
      <c r="M81" s="24"/>
      <c r="N81" s="24"/>
      <c r="O81" s="24"/>
      <c r="P81" s="24"/>
      <c r="Q81" s="24"/>
      <c r="R81" s="24"/>
      <c r="S81" s="24"/>
      <c r="T81" s="24"/>
      <c r="U81" s="24"/>
      <c r="V81" s="24"/>
      <c r="W81" s="24"/>
      <c r="X81" s="24"/>
      <c r="Y81" s="24"/>
      <c r="Z81" s="24"/>
    </row>
    <row r="999">
      <c r="D999" s="19">
        <v>46161.0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75"/>
    <col customWidth="1" min="2" max="2" width="24.38"/>
    <col customWidth="1" min="3" max="4" width="8.63"/>
    <col customWidth="1" min="5" max="5" width="8.13"/>
    <col customWidth="1" min="6" max="6" width="7.25"/>
    <col customWidth="1" min="7" max="8" width="8.88"/>
    <col customWidth="1" min="13" max="13" width="8.38"/>
    <col customWidth="1" min="14" max="14" width="8.75"/>
    <col customWidth="1" min="15" max="15" width="17.88"/>
    <col customWidth="1" min="16" max="16" width="22.63"/>
  </cols>
  <sheetData>
    <row r="1" ht="16.5" customHeight="1">
      <c r="A1" s="27" t="s">
        <v>82</v>
      </c>
      <c r="B1" s="15" t="s">
        <v>83</v>
      </c>
      <c r="C1" s="15" t="s">
        <v>84</v>
      </c>
      <c r="D1" s="15" t="s">
        <v>85</v>
      </c>
      <c r="E1" s="15" t="s">
        <v>86</v>
      </c>
      <c r="F1" s="15" t="s">
        <v>87</v>
      </c>
      <c r="G1" s="15" t="s">
        <v>88</v>
      </c>
      <c r="H1" s="15" t="s">
        <v>36</v>
      </c>
      <c r="I1" s="15" t="s">
        <v>89</v>
      </c>
      <c r="J1" s="15" t="s">
        <v>90</v>
      </c>
      <c r="K1" s="15" t="s">
        <v>39</v>
      </c>
      <c r="L1" s="15" t="s">
        <v>91</v>
      </c>
      <c r="M1" s="16" t="s">
        <v>92</v>
      </c>
      <c r="N1" s="15" t="s">
        <v>38</v>
      </c>
      <c r="O1" s="15" t="s">
        <v>93</v>
      </c>
      <c r="P1" s="15" t="s">
        <v>94</v>
      </c>
      <c r="Q1" s="15" t="s">
        <v>95</v>
      </c>
      <c r="R1" s="15" t="s">
        <v>42</v>
      </c>
      <c r="S1" s="17"/>
      <c r="T1" s="17"/>
      <c r="U1" s="17"/>
      <c r="V1" s="17"/>
      <c r="W1" s="17"/>
      <c r="X1" s="17"/>
      <c r="Y1" s="17"/>
      <c r="Z1" s="17"/>
      <c r="AA1" s="17"/>
      <c r="AB1" s="17"/>
      <c r="AC1" s="17"/>
      <c r="AD1" s="17"/>
      <c r="AE1" s="17"/>
      <c r="AF1" s="17"/>
      <c r="AG1" s="17"/>
      <c r="AH1" s="17"/>
      <c r="AI1" s="17"/>
      <c r="AJ1" s="17"/>
      <c r="AK1" s="17"/>
    </row>
    <row r="2">
      <c r="A2" s="28">
        <v>1.0</v>
      </c>
      <c r="B2" s="18" t="s">
        <v>96</v>
      </c>
      <c r="C2" s="18" t="s">
        <v>97</v>
      </c>
      <c r="D2" s="18" t="s">
        <v>98</v>
      </c>
      <c r="E2" s="18" t="s">
        <v>99</v>
      </c>
      <c r="F2" s="18">
        <v>1.0</v>
      </c>
      <c r="G2" s="18"/>
      <c r="H2" s="18" t="s">
        <v>18</v>
      </c>
      <c r="I2" s="18" t="s">
        <v>100</v>
      </c>
      <c r="J2" s="18" t="s">
        <v>100</v>
      </c>
      <c r="K2" s="19">
        <v>46161.0</v>
      </c>
      <c r="L2" s="20">
        <v>0.3958333333333333</v>
      </c>
      <c r="M2" s="29">
        <v>2.0</v>
      </c>
      <c r="N2" s="18" t="s">
        <v>43</v>
      </c>
      <c r="O2" s="18" t="s">
        <v>101</v>
      </c>
    </row>
    <row r="3">
      <c r="A3" s="28">
        <v>2.0</v>
      </c>
      <c r="B3" s="18" t="s">
        <v>102</v>
      </c>
      <c r="C3" s="18" t="s">
        <v>97</v>
      </c>
      <c r="D3" s="18" t="s">
        <v>98</v>
      </c>
      <c r="E3" s="18" t="s">
        <v>99</v>
      </c>
      <c r="F3" s="18">
        <v>2.0</v>
      </c>
      <c r="G3" s="18"/>
      <c r="H3" s="18" t="s">
        <v>18</v>
      </c>
      <c r="I3" s="18" t="s">
        <v>100</v>
      </c>
      <c r="J3" s="18" t="s">
        <v>100</v>
      </c>
      <c r="K3" s="19">
        <v>46161.0</v>
      </c>
      <c r="L3" s="20">
        <v>0.40625</v>
      </c>
      <c r="M3" s="29">
        <v>1.0</v>
      </c>
      <c r="N3" s="18" t="s">
        <v>43</v>
      </c>
      <c r="O3" s="18" t="s">
        <v>101</v>
      </c>
    </row>
    <row r="4">
      <c r="A4" s="28">
        <v>3.0</v>
      </c>
      <c r="B4" s="18" t="s">
        <v>103</v>
      </c>
      <c r="C4" s="18" t="s">
        <v>97</v>
      </c>
      <c r="D4" s="18" t="s">
        <v>98</v>
      </c>
      <c r="E4" s="18" t="s">
        <v>99</v>
      </c>
      <c r="F4" s="18">
        <v>3.0</v>
      </c>
      <c r="G4" s="18"/>
      <c r="H4" s="18" t="s">
        <v>18</v>
      </c>
      <c r="I4" s="18" t="s">
        <v>100</v>
      </c>
      <c r="J4" s="18" t="s">
        <v>100</v>
      </c>
      <c r="K4" s="19">
        <v>46161.0</v>
      </c>
      <c r="L4" s="20">
        <v>0.4097222222222222</v>
      </c>
      <c r="M4" s="29">
        <v>2.0</v>
      </c>
      <c r="N4" s="18" t="s">
        <v>43</v>
      </c>
      <c r="O4" s="18" t="s">
        <v>101</v>
      </c>
    </row>
    <row r="5">
      <c r="A5" s="28">
        <v>4.0</v>
      </c>
      <c r="B5" s="18" t="s">
        <v>104</v>
      </c>
      <c r="C5" s="18" t="s">
        <v>97</v>
      </c>
      <c r="D5" s="18" t="s">
        <v>98</v>
      </c>
      <c r="E5" s="18" t="s">
        <v>99</v>
      </c>
      <c r="F5" s="18">
        <v>4.0</v>
      </c>
      <c r="G5" s="18"/>
      <c r="H5" s="18" t="s">
        <v>20</v>
      </c>
      <c r="I5" s="18" t="s">
        <v>100</v>
      </c>
      <c r="J5" s="18" t="s">
        <v>100</v>
      </c>
      <c r="K5" s="19">
        <v>46161.0</v>
      </c>
      <c r="L5" s="20">
        <v>0.4361111111111111</v>
      </c>
      <c r="M5" s="29">
        <v>2.0</v>
      </c>
      <c r="N5" s="18" t="s">
        <v>43</v>
      </c>
      <c r="O5" s="18" t="s">
        <v>101</v>
      </c>
    </row>
    <row r="6">
      <c r="A6" s="28">
        <v>5.0</v>
      </c>
      <c r="B6" s="18" t="s">
        <v>105</v>
      </c>
      <c r="C6" s="18" t="s">
        <v>97</v>
      </c>
      <c r="D6" s="18" t="s">
        <v>98</v>
      </c>
      <c r="E6" s="18" t="s">
        <v>99</v>
      </c>
      <c r="F6" s="18">
        <v>5.0</v>
      </c>
      <c r="G6" s="18"/>
      <c r="H6" s="18" t="s">
        <v>20</v>
      </c>
      <c r="I6" s="18" t="s">
        <v>100</v>
      </c>
      <c r="J6" s="18" t="s">
        <v>100</v>
      </c>
      <c r="K6" s="19">
        <v>46161.0</v>
      </c>
      <c r="L6" s="20">
        <v>0.44027777777777777</v>
      </c>
      <c r="M6" s="29">
        <v>2.0</v>
      </c>
      <c r="N6" s="18" t="s">
        <v>43</v>
      </c>
      <c r="O6" s="18" t="s">
        <v>101</v>
      </c>
    </row>
    <row r="7">
      <c r="A7" s="28">
        <v>6.0</v>
      </c>
      <c r="B7" s="18" t="s">
        <v>106</v>
      </c>
      <c r="C7" s="18" t="s">
        <v>97</v>
      </c>
      <c r="D7" s="18" t="s">
        <v>98</v>
      </c>
      <c r="E7" s="18" t="s">
        <v>99</v>
      </c>
      <c r="F7" s="18">
        <v>6.0</v>
      </c>
      <c r="G7" s="18"/>
      <c r="H7" s="18" t="s">
        <v>20</v>
      </c>
      <c r="I7" s="18" t="s">
        <v>100</v>
      </c>
      <c r="J7" s="18" t="s">
        <v>100</v>
      </c>
      <c r="K7" s="19">
        <v>46161.0</v>
      </c>
      <c r="L7" s="20">
        <v>0.4486111111111111</v>
      </c>
      <c r="M7" s="29">
        <v>1.0</v>
      </c>
      <c r="N7" s="18" t="s">
        <v>43</v>
      </c>
      <c r="O7" s="18" t="s">
        <v>101</v>
      </c>
    </row>
    <row r="8">
      <c r="A8" s="28">
        <v>7.0</v>
      </c>
      <c r="B8" s="30" t="s">
        <v>107</v>
      </c>
      <c r="C8" s="30"/>
      <c r="D8" s="30" t="s">
        <v>108</v>
      </c>
      <c r="E8" s="30" t="s">
        <v>99</v>
      </c>
      <c r="F8" s="30">
        <v>1.0</v>
      </c>
      <c r="G8" s="30"/>
      <c r="H8" s="30" t="s">
        <v>22</v>
      </c>
      <c r="I8" s="30" t="s">
        <v>100</v>
      </c>
      <c r="J8" s="30" t="s">
        <v>100</v>
      </c>
      <c r="K8" s="31">
        <v>46161.0</v>
      </c>
      <c r="L8" s="32">
        <v>0.4756944444444444</v>
      </c>
      <c r="M8" s="33">
        <v>1.0</v>
      </c>
      <c r="N8" s="30" t="s">
        <v>43</v>
      </c>
      <c r="O8" s="30" t="s">
        <v>109</v>
      </c>
      <c r="P8" s="34"/>
      <c r="Q8" s="34"/>
      <c r="R8" s="30" t="s">
        <v>110</v>
      </c>
      <c r="S8" s="34"/>
      <c r="T8" s="34"/>
      <c r="U8" s="34"/>
      <c r="V8" s="34"/>
      <c r="W8" s="34"/>
      <c r="X8" s="34"/>
      <c r="Y8" s="34"/>
      <c r="Z8" s="34"/>
      <c r="AA8" s="34"/>
      <c r="AB8" s="34"/>
      <c r="AC8" s="34"/>
      <c r="AD8" s="34"/>
      <c r="AE8" s="34"/>
      <c r="AF8" s="34"/>
      <c r="AG8" s="34"/>
      <c r="AH8" s="34"/>
      <c r="AI8" s="34"/>
      <c r="AJ8" s="34"/>
      <c r="AK8" s="34"/>
    </row>
    <row r="9">
      <c r="A9" s="28">
        <v>8.0</v>
      </c>
      <c r="B9" s="18" t="s">
        <v>111</v>
      </c>
      <c r="C9" s="18" t="s">
        <v>97</v>
      </c>
      <c r="D9" s="18" t="s">
        <v>98</v>
      </c>
      <c r="E9" s="18" t="s">
        <v>99</v>
      </c>
      <c r="F9" s="18">
        <v>7.0</v>
      </c>
      <c r="G9" s="18"/>
      <c r="H9" s="18" t="s">
        <v>22</v>
      </c>
      <c r="I9" s="18" t="s">
        <v>100</v>
      </c>
      <c r="J9" s="18" t="s">
        <v>100</v>
      </c>
      <c r="K9" s="19">
        <v>46161.0</v>
      </c>
      <c r="L9" s="20">
        <v>0.4875</v>
      </c>
      <c r="M9" s="29">
        <v>2.0</v>
      </c>
      <c r="N9" s="18" t="s">
        <v>43</v>
      </c>
      <c r="O9" s="18" t="s">
        <v>112</v>
      </c>
      <c r="P9" s="18" t="s">
        <v>113</v>
      </c>
    </row>
    <row r="10">
      <c r="A10" s="28">
        <v>9.0</v>
      </c>
      <c r="B10" s="18" t="s">
        <v>114</v>
      </c>
      <c r="C10" s="18" t="s">
        <v>97</v>
      </c>
      <c r="D10" s="18" t="s">
        <v>98</v>
      </c>
      <c r="E10" s="18" t="s">
        <v>99</v>
      </c>
      <c r="F10" s="18">
        <v>8.0</v>
      </c>
      <c r="G10" s="18"/>
      <c r="H10" s="18" t="s">
        <v>18</v>
      </c>
      <c r="I10" s="18" t="s">
        <v>100</v>
      </c>
      <c r="J10" s="18" t="s">
        <v>100</v>
      </c>
      <c r="K10" s="19">
        <v>46161.0</v>
      </c>
      <c r="L10" s="20">
        <v>0.5638888888888889</v>
      </c>
      <c r="M10" s="29">
        <v>2.0</v>
      </c>
      <c r="N10" s="18" t="s">
        <v>43</v>
      </c>
      <c r="O10" s="18" t="s">
        <v>115</v>
      </c>
    </row>
    <row r="11">
      <c r="A11" s="28">
        <v>10.0</v>
      </c>
      <c r="B11" s="18" t="s">
        <v>116</v>
      </c>
      <c r="C11" s="18" t="s">
        <v>97</v>
      </c>
      <c r="D11" s="18" t="s">
        <v>98</v>
      </c>
      <c r="E11" s="18" t="s">
        <v>99</v>
      </c>
      <c r="F11" s="18">
        <v>9.0</v>
      </c>
      <c r="G11" s="18"/>
      <c r="H11" s="18" t="s">
        <v>18</v>
      </c>
      <c r="I11" s="18" t="s">
        <v>100</v>
      </c>
      <c r="J11" s="18" t="s">
        <v>100</v>
      </c>
      <c r="K11" s="19">
        <v>46161.0</v>
      </c>
      <c r="L11" s="20">
        <v>0.5694444444444444</v>
      </c>
      <c r="M11" s="29">
        <v>1.0</v>
      </c>
      <c r="N11" s="18" t="s">
        <v>43</v>
      </c>
      <c r="O11" s="18" t="s">
        <v>101</v>
      </c>
    </row>
    <row r="12">
      <c r="A12" s="28">
        <v>11.0</v>
      </c>
      <c r="B12" s="18" t="s">
        <v>117</v>
      </c>
      <c r="C12" s="18" t="s">
        <v>97</v>
      </c>
      <c r="D12" s="18" t="s">
        <v>98</v>
      </c>
      <c r="E12" s="18" t="s">
        <v>99</v>
      </c>
      <c r="F12" s="18">
        <v>10.0</v>
      </c>
      <c r="G12" s="18"/>
      <c r="H12" s="18" t="s">
        <v>118</v>
      </c>
      <c r="I12" s="18" t="s">
        <v>100</v>
      </c>
      <c r="J12" s="18" t="s">
        <v>100</v>
      </c>
      <c r="K12" s="19">
        <v>46161.0</v>
      </c>
      <c r="L12" s="20">
        <v>0.5944444444444444</v>
      </c>
      <c r="M12" s="29">
        <v>1.0</v>
      </c>
      <c r="N12" s="18" t="s">
        <v>43</v>
      </c>
      <c r="O12" s="18" t="s">
        <v>119</v>
      </c>
      <c r="P12" s="18" t="s">
        <v>120</v>
      </c>
    </row>
    <row r="13">
      <c r="A13" s="28">
        <v>12.0</v>
      </c>
      <c r="B13" s="18" t="s">
        <v>121</v>
      </c>
      <c r="C13" s="18" t="s">
        <v>97</v>
      </c>
      <c r="D13" s="18" t="s">
        <v>98</v>
      </c>
      <c r="E13" s="18" t="s">
        <v>99</v>
      </c>
      <c r="F13" s="18">
        <v>11.0</v>
      </c>
      <c r="G13" s="18"/>
      <c r="H13" s="18" t="s">
        <v>7</v>
      </c>
      <c r="I13" s="19">
        <v>46170.0</v>
      </c>
      <c r="J13" s="20">
        <v>0.3923611111111111</v>
      </c>
      <c r="K13" s="19">
        <v>46171.0</v>
      </c>
      <c r="L13" s="20">
        <v>0.4201388888888889</v>
      </c>
      <c r="M13" s="29">
        <v>2.0</v>
      </c>
      <c r="N13" s="18" t="s">
        <v>44</v>
      </c>
      <c r="O13" s="18" t="s">
        <v>100</v>
      </c>
    </row>
    <row r="14">
      <c r="A14" s="28">
        <v>13.0</v>
      </c>
      <c r="B14" s="18" t="s">
        <v>122</v>
      </c>
      <c r="C14" s="18" t="s">
        <v>97</v>
      </c>
      <c r="D14" s="18" t="s">
        <v>98</v>
      </c>
      <c r="E14" s="18" t="s">
        <v>99</v>
      </c>
      <c r="F14" s="18">
        <v>12.0</v>
      </c>
      <c r="G14" s="18"/>
      <c r="H14" s="18" t="s">
        <v>9</v>
      </c>
      <c r="I14" s="19">
        <v>46170.0</v>
      </c>
      <c r="J14" s="20">
        <v>0.4201388888888889</v>
      </c>
      <c r="K14" s="19">
        <v>46171.0</v>
      </c>
      <c r="L14" s="20">
        <v>0.4409722222222222</v>
      </c>
      <c r="M14" s="29">
        <v>1.0</v>
      </c>
      <c r="N14" s="18" t="s">
        <v>44</v>
      </c>
      <c r="O14" s="18" t="s">
        <v>100</v>
      </c>
    </row>
    <row r="15">
      <c r="A15" s="28">
        <v>14.0</v>
      </c>
      <c r="B15" s="18" t="s">
        <v>123</v>
      </c>
      <c r="C15" s="18" t="s">
        <v>97</v>
      </c>
      <c r="D15" s="18" t="s">
        <v>98</v>
      </c>
      <c r="E15" s="18" t="s">
        <v>124</v>
      </c>
      <c r="F15" s="18">
        <v>1.0</v>
      </c>
      <c r="G15" s="18"/>
      <c r="H15" s="18" t="s">
        <v>11</v>
      </c>
      <c r="I15" s="19">
        <v>46170.0</v>
      </c>
      <c r="J15" s="20">
        <v>0.4409722222222222</v>
      </c>
      <c r="K15" s="19">
        <v>46171.0</v>
      </c>
      <c r="L15" s="20">
        <v>0.45694444444444443</v>
      </c>
      <c r="M15" s="29">
        <v>11.0</v>
      </c>
      <c r="N15" s="18" t="s">
        <v>44</v>
      </c>
      <c r="O15" s="18" t="s">
        <v>100</v>
      </c>
    </row>
    <row r="16">
      <c r="A16" s="28">
        <v>15.0</v>
      </c>
      <c r="B16" s="18" t="s">
        <v>125</v>
      </c>
      <c r="C16" s="18" t="s">
        <v>97</v>
      </c>
      <c r="D16" s="18" t="s">
        <v>98</v>
      </c>
      <c r="E16" s="18" t="s">
        <v>124</v>
      </c>
      <c r="F16" s="18">
        <v>2.0</v>
      </c>
      <c r="G16" s="18"/>
      <c r="H16" s="18" t="s">
        <v>14</v>
      </c>
      <c r="I16" s="19">
        <v>46170.0</v>
      </c>
      <c r="J16" s="20">
        <v>0.4722222222222222</v>
      </c>
      <c r="K16" s="19">
        <v>46171.0</v>
      </c>
      <c r="L16" s="20">
        <v>0.4909722222222222</v>
      </c>
      <c r="M16" s="29">
        <v>4.0</v>
      </c>
      <c r="N16" s="18" t="s">
        <v>44</v>
      </c>
      <c r="O16" s="18" t="s">
        <v>100</v>
      </c>
    </row>
    <row r="17">
      <c r="A17" s="28">
        <v>16.0</v>
      </c>
      <c r="B17" s="18" t="s">
        <v>126</v>
      </c>
      <c r="C17" s="18" t="s">
        <v>97</v>
      </c>
      <c r="D17" s="18" t="s">
        <v>98</v>
      </c>
      <c r="E17" s="18" t="s">
        <v>124</v>
      </c>
      <c r="F17" s="18">
        <v>3.0</v>
      </c>
      <c r="G17" s="18"/>
      <c r="H17" s="18" t="s">
        <v>16</v>
      </c>
      <c r="I17" s="19">
        <v>46170.0</v>
      </c>
      <c r="J17" s="20">
        <v>0.4826388888888889</v>
      </c>
      <c r="K17" s="19">
        <v>46171.0</v>
      </c>
      <c r="L17" s="20">
        <v>0.5</v>
      </c>
      <c r="M17" s="29">
        <v>3.0</v>
      </c>
      <c r="N17" s="18" t="s">
        <v>44</v>
      </c>
      <c r="O17" s="18" t="s">
        <v>100</v>
      </c>
    </row>
    <row r="18">
      <c r="A18" s="28">
        <v>17.0</v>
      </c>
      <c r="B18" s="18" t="s">
        <v>127</v>
      </c>
      <c r="C18" s="18" t="s">
        <v>97</v>
      </c>
      <c r="D18" s="18" t="s">
        <v>98</v>
      </c>
      <c r="E18" s="18" t="s">
        <v>124</v>
      </c>
      <c r="F18" s="18">
        <v>4.0</v>
      </c>
      <c r="G18" s="18"/>
      <c r="H18" s="18" t="s">
        <v>18</v>
      </c>
      <c r="I18" s="19">
        <v>46170.0</v>
      </c>
      <c r="J18" s="20">
        <v>0.6444444444444445</v>
      </c>
      <c r="K18" s="19">
        <v>46171.0</v>
      </c>
      <c r="L18" s="20">
        <v>0.5590277777777778</v>
      </c>
      <c r="M18" s="29">
        <v>1.0</v>
      </c>
      <c r="N18" s="18" t="s">
        <v>44</v>
      </c>
      <c r="O18" s="18" t="s">
        <v>100</v>
      </c>
    </row>
    <row r="19">
      <c r="A19" s="28">
        <v>18.0</v>
      </c>
      <c r="B19" s="18" t="s">
        <v>128</v>
      </c>
      <c r="C19" s="18" t="s">
        <v>97</v>
      </c>
      <c r="D19" s="18" t="s">
        <v>98</v>
      </c>
      <c r="E19" s="18" t="s">
        <v>124</v>
      </c>
      <c r="F19" s="18">
        <v>5.0</v>
      </c>
      <c r="G19" s="18"/>
      <c r="H19" s="18" t="s">
        <v>22</v>
      </c>
      <c r="I19" s="19">
        <v>46170.0</v>
      </c>
      <c r="J19" s="20">
        <v>0.6875</v>
      </c>
      <c r="K19" s="19">
        <v>46171.0</v>
      </c>
      <c r="L19" s="20">
        <v>0.6041666666666666</v>
      </c>
      <c r="M19" s="29">
        <v>1.0</v>
      </c>
      <c r="N19" s="18" t="s">
        <v>44</v>
      </c>
      <c r="O19" s="18" t="s">
        <v>100</v>
      </c>
    </row>
    <row r="20">
      <c r="A20" s="28">
        <v>19.0</v>
      </c>
      <c r="B20" s="18" t="s">
        <v>129</v>
      </c>
      <c r="C20" s="18" t="s">
        <v>97</v>
      </c>
      <c r="D20" s="18" t="s">
        <v>98</v>
      </c>
      <c r="E20" s="18" t="s">
        <v>124</v>
      </c>
      <c r="F20" s="18">
        <v>6.0</v>
      </c>
      <c r="G20" s="18"/>
      <c r="H20" s="18" t="s">
        <v>24</v>
      </c>
      <c r="I20" s="19">
        <v>46170.0</v>
      </c>
      <c r="J20" s="20">
        <v>0.7048611111111112</v>
      </c>
      <c r="K20" s="19">
        <v>46171.0</v>
      </c>
      <c r="L20" s="20">
        <v>0.6215277777777778</v>
      </c>
      <c r="M20" s="29">
        <v>3.0</v>
      </c>
      <c r="N20" s="18" t="s">
        <v>44</v>
      </c>
      <c r="O20" s="18" t="s">
        <v>100</v>
      </c>
    </row>
    <row r="21">
      <c r="A21" s="28">
        <v>20.0</v>
      </c>
      <c r="B21" s="18" t="s">
        <v>130</v>
      </c>
      <c r="C21" s="18" t="s">
        <v>97</v>
      </c>
      <c r="D21" s="18"/>
      <c r="E21" s="18" t="s">
        <v>124</v>
      </c>
      <c r="F21" s="18">
        <v>7.0</v>
      </c>
      <c r="H21" s="18" t="s">
        <v>7</v>
      </c>
      <c r="I21" s="18" t="s">
        <v>100</v>
      </c>
      <c r="J21" s="18" t="s">
        <v>100</v>
      </c>
      <c r="K21" s="19">
        <v>46175.0</v>
      </c>
      <c r="L21" s="20">
        <v>0.375</v>
      </c>
      <c r="M21" s="29">
        <v>3.0</v>
      </c>
      <c r="N21" s="18" t="s">
        <v>43</v>
      </c>
      <c r="O21" s="18" t="s">
        <v>131</v>
      </c>
    </row>
    <row r="22">
      <c r="A22" s="28">
        <v>21.0</v>
      </c>
      <c r="B22" s="18" t="s">
        <v>132</v>
      </c>
      <c r="C22" s="18" t="s">
        <v>97</v>
      </c>
      <c r="D22" s="18"/>
      <c r="E22" s="18" t="s">
        <v>124</v>
      </c>
      <c r="F22" s="18">
        <v>8.0</v>
      </c>
      <c r="H22" s="18" t="s">
        <v>7</v>
      </c>
      <c r="I22" s="18" t="s">
        <v>100</v>
      </c>
      <c r="J22" s="18" t="s">
        <v>100</v>
      </c>
      <c r="K22" s="19">
        <v>46175.0</v>
      </c>
      <c r="M22" s="29">
        <v>1.0</v>
      </c>
      <c r="N22" s="18" t="s">
        <v>43</v>
      </c>
      <c r="O22" s="18" t="s">
        <v>133</v>
      </c>
    </row>
    <row r="23">
      <c r="A23" s="35">
        <v>22.0</v>
      </c>
      <c r="B23" s="36" t="s">
        <v>134</v>
      </c>
      <c r="C23" s="36"/>
      <c r="D23" s="36"/>
      <c r="E23" s="36" t="s">
        <v>124</v>
      </c>
      <c r="F23" s="36">
        <v>9.0</v>
      </c>
      <c r="G23" s="37"/>
      <c r="H23" s="36" t="s">
        <v>7</v>
      </c>
      <c r="I23" s="36" t="s">
        <v>100</v>
      </c>
      <c r="J23" s="36" t="s">
        <v>100</v>
      </c>
      <c r="K23" s="38">
        <v>46175.0</v>
      </c>
      <c r="L23" s="37"/>
      <c r="M23" s="39">
        <v>5.0</v>
      </c>
      <c r="N23" s="36" t="s">
        <v>43</v>
      </c>
      <c r="O23" s="36" t="s">
        <v>131</v>
      </c>
      <c r="P23" s="37"/>
      <c r="Q23" s="37"/>
      <c r="R23" s="37"/>
      <c r="S23" s="37"/>
      <c r="T23" s="37"/>
      <c r="U23" s="37"/>
      <c r="V23" s="37"/>
      <c r="W23" s="37"/>
      <c r="X23" s="37"/>
      <c r="Y23" s="37"/>
      <c r="Z23" s="37"/>
      <c r="AA23" s="37"/>
      <c r="AB23" s="37"/>
      <c r="AC23" s="37"/>
      <c r="AD23" s="37"/>
      <c r="AE23" s="37"/>
      <c r="AF23" s="37"/>
      <c r="AG23" s="37"/>
      <c r="AH23" s="37"/>
      <c r="AI23" s="37"/>
      <c r="AJ23" s="37"/>
      <c r="AK23" s="37"/>
    </row>
    <row r="24">
      <c r="A24" s="28">
        <v>23.0</v>
      </c>
      <c r="B24" s="18" t="s">
        <v>135</v>
      </c>
      <c r="C24" s="18"/>
      <c r="D24" s="18"/>
      <c r="E24" s="18" t="s">
        <v>124</v>
      </c>
      <c r="F24" s="18">
        <v>10.0</v>
      </c>
      <c r="H24" s="18" t="s">
        <v>7</v>
      </c>
      <c r="I24" s="18" t="s">
        <v>100</v>
      </c>
      <c r="J24" s="18" t="s">
        <v>100</v>
      </c>
      <c r="K24" s="19">
        <v>46175.0</v>
      </c>
      <c r="M24" s="29">
        <v>2.0</v>
      </c>
      <c r="N24" s="18" t="s">
        <v>43</v>
      </c>
      <c r="O24" s="18" t="s">
        <v>131</v>
      </c>
    </row>
    <row r="25">
      <c r="A25" s="28">
        <v>24.0</v>
      </c>
      <c r="B25" s="18" t="s">
        <v>136</v>
      </c>
      <c r="C25" s="18"/>
      <c r="D25" s="18"/>
      <c r="E25" s="18" t="s">
        <v>124</v>
      </c>
      <c r="F25" s="18">
        <v>11.0</v>
      </c>
      <c r="H25" s="18" t="s">
        <v>9</v>
      </c>
      <c r="I25" s="18" t="s">
        <v>100</v>
      </c>
      <c r="J25" s="18" t="s">
        <v>100</v>
      </c>
      <c r="K25" s="19">
        <v>46175.0</v>
      </c>
      <c r="L25" s="20">
        <v>0.4215277777777778</v>
      </c>
      <c r="M25" s="29">
        <v>1.0</v>
      </c>
      <c r="N25" s="18" t="s">
        <v>43</v>
      </c>
      <c r="O25" s="18" t="s">
        <v>137</v>
      </c>
    </row>
    <row r="26">
      <c r="A26" s="28">
        <v>25.0</v>
      </c>
      <c r="B26" s="18" t="s">
        <v>138</v>
      </c>
      <c r="C26" s="18"/>
      <c r="D26" s="18"/>
      <c r="E26" s="18" t="s">
        <v>124</v>
      </c>
      <c r="F26" s="18">
        <v>12.0</v>
      </c>
      <c r="H26" s="18" t="s">
        <v>11</v>
      </c>
      <c r="I26" s="18" t="s">
        <v>100</v>
      </c>
      <c r="J26" s="18" t="s">
        <v>100</v>
      </c>
      <c r="K26" s="19">
        <v>46175.0</v>
      </c>
      <c r="M26" s="29">
        <v>1.0</v>
      </c>
      <c r="N26" s="18" t="s">
        <v>43</v>
      </c>
      <c r="O26" s="21" t="s">
        <v>139</v>
      </c>
      <c r="P26" s="18" t="s">
        <v>140</v>
      </c>
    </row>
    <row r="27">
      <c r="A27" s="28">
        <v>26.0</v>
      </c>
      <c r="B27" s="18" t="s">
        <v>141</v>
      </c>
      <c r="C27" s="18"/>
      <c r="D27" s="18"/>
      <c r="E27" s="18" t="s">
        <v>142</v>
      </c>
      <c r="F27" s="18">
        <v>1.0</v>
      </c>
      <c r="H27" s="18" t="s">
        <v>11</v>
      </c>
      <c r="I27" s="18" t="s">
        <v>100</v>
      </c>
      <c r="J27" s="18" t="s">
        <v>100</v>
      </c>
      <c r="K27" s="19">
        <v>46175.0</v>
      </c>
      <c r="M27" s="29">
        <v>2.0</v>
      </c>
      <c r="N27" s="18" t="s">
        <v>43</v>
      </c>
      <c r="O27" s="18" t="s">
        <v>143</v>
      </c>
    </row>
    <row r="28">
      <c r="A28" s="28">
        <v>27.0</v>
      </c>
      <c r="B28" s="18" t="s">
        <v>144</v>
      </c>
      <c r="C28" s="18"/>
      <c r="D28" s="18"/>
      <c r="E28" s="18" t="s">
        <v>142</v>
      </c>
      <c r="F28" s="18">
        <v>2.0</v>
      </c>
      <c r="H28" s="18" t="s">
        <v>11</v>
      </c>
      <c r="I28" s="18" t="s">
        <v>100</v>
      </c>
      <c r="J28" s="18" t="s">
        <v>100</v>
      </c>
      <c r="K28" s="19">
        <v>46175.0</v>
      </c>
      <c r="M28" s="29">
        <v>3.0</v>
      </c>
      <c r="N28" s="18" t="s">
        <v>43</v>
      </c>
      <c r="O28" s="18" t="s">
        <v>101</v>
      </c>
    </row>
    <row r="29">
      <c r="A29" s="28">
        <v>28.0</v>
      </c>
      <c r="B29" s="18" t="s">
        <v>145</v>
      </c>
      <c r="C29" s="18"/>
      <c r="D29" s="18"/>
      <c r="E29" s="18" t="s">
        <v>142</v>
      </c>
      <c r="F29" s="18">
        <v>3.0</v>
      </c>
      <c r="H29" s="18" t="s">
        <v>11</v>
      </c>
      <c r="I29" s="18" t="s">
        <v>100</v>
      </c>
      <c r="J29" s="18" t="s">
        <v>100</v>
      </c>
      <c r="K29" s="19">
        <v>46175.0</v>
      </c>
      <c r="M29" s="29">
        <v>2.0</v>
      </c>
      <c r="N29" s="18" t="s">
        <v>43</v>
      </c>
      <c r="O29" s="21" t="s">
        <v>146</v>
      </c>
    </row>
    <row r="30">
      <c r="A30" s="28">
        <v>29.0</v>
      </c>
      <c r="B30" s="18" t="s">
        <v>147</v>
      </c>
      <c r="C30" s="18"/>
      <c r="D30" s="18"/>
      <c r="E30" s="18" t="s">
        <v>142</v>
      </c>
      <c r="F30" s="18">
        <v>4.0</v>
      </c>
      <c r="H30" s="18" t="s">
        <v>11</v>
      </c>
      <c r="I30" s="18" t="s">
        <v>100</v>
      </c>
      <c r="J30" s="18" t="s">
        <v>100</v>
      </c>
      <c r="K30" s="19">
        <v>46175.0</v>
      </c>
      <c r="M30" s="29">
        <v>2.0</v>
      </c>
      <c r="N30" s="18" t="s">
        <v>43</v>
      </c>
      <c r="O30" s="21" t="s">
        <v>139</v>
      </c>
    </row>
    <row r="31">
      <c r="A31" s="28">
        <v>30.0</v>
      </c>
      <c r="B31" s="18" t="s">
        <v>148</v>
      </c>
      <c r="C31" s="18"/>
      <c r="D31" s="18"/>
      <c r="E31" s="18" t="s">
        <v>142</v>
      </c>
      <c r="F31" s="18">
        <v>5.0</v>
      </c>
      <c r="H31" s="18" t="s">
        <v>149</v>
      </c>
      <c r="I31" s="18" t="s">
        <v>100</v>
      </c>
      <c r="J31" s="18" t="s">
        <v>100</v>
      </c>
      <c r="K31" s="19">
        <v>46175.0</v>
      </c>
      <c r="L31" s="20">
        <v>0.5555555555555556</v>
      </c>
      <c r="M31" s="29">
        <v>2.0</v>
      </c>
      <c r="N31" s="18" t="s">
        <v>43</v>
      </c>
      <c r="O31" s="18" t="s">
        <v>133</v>
      </c>
    </row>
    <row r="32">
      <c r="A32" s="28">
        <v>31.0</v>
      </c>
      <c r="B32" s="18" t="s">
        <v>150</v>
      </c>
      <c r="C32" s="18"/>
      <c r="D32" s="18"/>
      <c r="E32" s="18" t="s">
        <v>142</v>
      </c>
      <c r="F32" s="18">
        <v>6.0</v>
      </c>
      <c r="H32" s="18" t="s">
        <v>149</v>
      </c>
      <c r="I32" s="18" t="s">
        <v>100</v>
      </c>
      <c r="J32" s="18" t="s">
        <v>100</v>
      </c>
      <c r="K32" s="19">
        <v>46175.0</v>
      </c>
      <c r="M32" s="29">
        <v>3.0</v>
      </c>
      <c r="N32" s="18" t="s">
        <v>43</v>
      </c>
      <c r="O32" s="18" t="s">
        <v>151</v>
      </c>
    </row>
    <row r="33">
      <c r="A33" s="28">
        <v>32.0</v>
      </c>
      <c r="B33" s="18" t="s">
        <v>152</v>
      </c>
      <c r="C33" s="18"/>
      <c r="D33" s="18"/>
      <c r="E33" s="18" t="s">
        <v>142</v>
      </c>
      <c r="F33" s="18">
        <v>7.0</v>
      </c>
      <c r="H33" s="18" t="s">
        <v>7</v>
      </c>
      <c r="I33" s="18" t="s">
        <v>100</v>
      </c>
      <c r="J33" s="18" t="s">
        <v>100</v>
      </c>
      <c r="K33" s="19">
        <v>46175.0</v>
      </c>
      <c r="M33" s="29">
        <v>5.0</v>
      </c>
      <c r="N33" s="18" t="s">
        <v>43</v>
      </c>
      <c r="O33" s="18" t="s">
        <v>131</v>
      </c>
    </row>
    <row r="34">
      <c r="A34" s="28">
        <v>33.0</v>
      </c>
      <c r="B34" s="18" t="s">
        <v>153</v>
      </c>
      <c r="C34" s="18"/>
      <c r="D34" s="18"/>
      <c r="E34" s="18" t="s">
        <v>142</v>
      </c>
      <c r="F34" s="18">
        <v>8.0</v>
      </c>
      <c r="H34" s="18" t="s">
        <v>7</v>
      </c>
      <c r="I34" s="18" t="s">
        <v>100</v>
      </c>
      <c r="J34" s="18" t="s">
        <v>100</v>
      </c>
      <c r="K34" s="19">
        <v>46175.0</v>
      </c>
      <c r="M34" s="29">
        <v>2.0</v>
      </c>
      <c r="N34" s="18" t="s">
        <v>43</v>
      </c>
      <c r="O34" s="18" t="s">
        <v>154</v>
      </c>
    </row>
    <row r="35">
      <c r="A35" s="28">
        <v>34.0</v>
      </c>
      <c r="B35" s="18" t="s">
        <v>155</v>
      </c>
      <c r="C35" s="18"/>
      <c r="D35" s="18"/>
      <c r="E35" s="18" t="s">
        <v>142</v>
      </c>
      <c r="F35" s="18">
        <v>9.0</v>
      </c>
      <c r="H35" s="18" t="s">
        <v>7</v>
      </c>
      <c r="I35" s="18" t="s">
        <v>100</v>
      </c>
      <c r="J35" s="18" t="s">
        <v>100</v>
      </c>
      <c r="K35" s="19">
        <v>46175.0</v>
      </c>
      <c r="M35" s="29">
        <v>1.0</v>
      </c>
      <c r="N35" s="18" t="s">
        <v>43</v>
      </c>
      <c r="O35" s="18" t="s">
        <v>156</v>
      </c>
    </row>
    <row r="36">
      <c r="A36" s="28">
        <v>35.0</v>
      </c>
      <c r="B36" s="18" t="s">
        <v>157</v>
      </c>
      <c r="C36" s="18"/>
      <c r="D36" s="18"/>
      <c r="E36" s="18" t="s">
        <v>142</v>
      </c>
      <c r="F36" s="18">
        <v>10.0</v>
      </c>
      <c r="H36" s="18" t="s">
        <v>9</v>
      </c>
      <c r="I36" s="18" t="s">
        <v>100</v>
      </c>
      <c r="J36" s="18" t="s">
        <v>100</v>
      </c>
      <c r="K36" s="19">
        <v>46175.0</v>
      </c>
      <c r="L36" s="20">
        <v>0.6041666666666666</v>
      </c>
      <c r="M36" s="29">
        <v>1.0</v>
      </c>
      <c r="N36" s="18" t="s">
        <v>43</v>
      </c>
      <c r="O36" s="18" t="s">
        <v>137</v>
      </c>
    </row>
    <row r="37">
      <c r="A37" s="28">
        <v>36.0</v>
      </c>
      <c r="B37" s="18" t="s">
        <v>158</v>
      </c>
      <c r="C37" s="18"/>
      <c r="D37" s="18"/>
      <c r="E37" s="18" t="s">
        <v>142</v>
      </c>
      <c r="F37" s="18">
        <v>11.0</v>
      </c>
      <c r="H37" s="18" t="s">
        <v>9</v>
      </c>
      <c r="I37" s="18" t="s">
        <v>100</v>
      </c>
      <c r="J37" s="18" t="s">
        <v>100</v>
      </c>
      <c r="K37" s="19">
        <v>46175.0</v>
      </c>
      <c r="L37" s="20">
        <v>0.6041666666666666</v>
      </c>
      <c r="M37" s="29">
        <v>1.0</v>
      </c>
      <c r="N37" s="18" t="s">
        <v>43</v>
      </c>
      <c r="O37" s="18" t="s">
        <v>159</v>
      </c>
      <c r="P37" s="18" t="s">
        <v>160</v>
      </c>
    </row>
    <row r="38">
      <c r="A38" s="28">
        <v>37.0</v>
      </c>
      <c r="B38" s="18" t="s">
        <v>161</v>
      </c>
      <c r="C38" s="18"/>
      <c r="D38" s="18"/>
      <c r="E38" s="18" t="s">
        <v>142</v>
      </c>
      <c r="F38" s="18">
        <v>12.0</v>
      </c>
      <c r="H38" s="18" t="s">
        <v>9</v>
      </c>
      <c r="I38" s="18" t="s">
        <v>100</v>
      </c>
      <c r="J38" s="18" t="s">
        <v>100</v>
      </c>
      <c r="K38" s="19">
        <v>46175.0</v>
      </c>
      <c r="L38" s="20">
        <v>0.6041666666666666</v>
      </c>
      <c r="M38" s="29">
        <v>1.0</v>
      </c>
      <c r="N38" s="18" t="s">
        <v>43</v>
      </c>
      <c r="O38" s="18" t="s">
        <v>162</v>
      </c>
      <c r="P38" s="18" t="s">
        <v>160</v>
      </c>
    </row>
    <row r="39">
      <c r="A39" s="28">
        <v>38.0</v>
      </c>
      <c r="B39" s="18" t="s">
        <v>163</v>
      </c>
      <c r="C39" s="18"/>
      <c r="D39" s="18"/>
      <c r="E39" s="18" t="s">
        <v>164</v>
      </c>
      <c r="F39" s="18">
        <v>1.0</v>
      </c>
      <c r="H39" s="18" t="s">
        <v>11</v>
      </c>
      <c r="I39" s="18" t="s">
        <v>100</v>
      </c>
      <c r="J39" s="18" t="s">
        <v>100</v>
      </c>
      <c r="K39" s="19">
        <v>46175.0</v>
      </c>
      <c r="L39" s="20">
        <v>0.6381944444444444</v>
      </c>
      <c r="M39" s="29">
        <v>2.0</v>
      </c>
      <c r="N39" s="18" t="s">
        <v>43</v>
      </c>
      <c r="O39" s="21" t="s">
        <v>139</v>
      </c>
    </row>
    <row r="40">
      <c r="A40" s="28">
        <v>39.0</v>
      </c>
      <c r="B40" s="18" t="s">
        <v>165</v>
      </c>
      <c r="C40" s="18"/>
      <c r="D40" s="18"/>
      <c r="E40" s="18" t="s">
        <v>164</v>
      </c>
      <c r="F40" s="18">
        <v>2.0</v>
      </c>
      <c r="H40" s="18" t="s">
        <v>11</v>
      </c>
      <c r="I40" s="18" t="s">
        <v>100</v>
      </c>
      <c r="J40" s="18" t="s">
        <v>100</v>
      </c>
      <c r="K40" s="19">
        <v>46175.0</v>
      </c>
      <c r="M40" s="29">
        <v>2.0</v>
      </c>
      <c r="N40" s="18" t="s">
        <v>43</v>
      </c>
      <c r="O40" s="18" t="s">
        <v>143</v>
      </c>
    </row>
    <row r="41">
      <c r="A41" s="28">
        <v>40.0</v>
      </c>
      <c r="B41" s="18" t="s">
        <v>166</v>
      </c>
      <c r="C41" s="18"/>
      <c r="D41" s="18"/>
      <c r="E41" s="18" t="s">
        <v>164</v>
      </c>
      <c r="F41" s="18">
        <v>3.0</v>
      </c>
      <c r="H41" s="18" t="s">
        <v>11</v>
      </c>
      <c r="I41" s="18" t="s">
        <v>100</v>
      </c>
      <c r="J41" s="18" t="s">
        <v>100</v>
      </c>
      <c r="K41" s="19">
        <v>46175.0</v>
      </c>
      <c r="M41" s="29">
        <v>1.0</v>
      </c>
      <c r="N41" s="18" t="s">
        <v>43</v>
      </c>
      <c r="O41" s="18" t="s">
        <v>167</v>
      </c>
    </row>
    <row r="42">
      <c r="A42" s="28">
        <v>41.0</v>
      </c>
      <c r="B42" s="18" t="s">
        <v>168</v>
      </c>
      <c r="C42" s="18"/>
      <c r="D42" s="18"/>
      <c r="E42" s="18" t="s">
        <v>164</v>
      </c>
      <c r="F42" s="18">
        <v>4.0</v>
      </c>
      <c r="H42" s="18" t="s">
        <v>11</v>
      </c>
      <c r="I42" s="18" t="s">
        <v>100</v>
      </c>
      <c r="J42" s="18" t="s">
        <v>100</v>
      </c>
      <c r="K42" s="19">
        <v>46175.0</v>
      </c>
      <c r="M42" s="29">
        <v>1.0</v>
      </c>
      <c r="N42" s="18" t="s">
        <v>43</v>
      </c>
      <c r="O42" s="21" t="s">
        <v>139</v>
      </c>
    </row>
    <row r="43">
      <c r="A43" s="28">
        <v>42.0</v>
      </c>
      <c r="B43" s="18" t="s">
        <v>169</v>
      </c>
      <c r="C43" s="18"/>
      <c r="D43" s="18"/>
      <c r="E43" s="18" t="s">
        <v>164</v>
      </c>
      <c r="F43" s="18">
        <v>5.0</v>
      </c>
      <c r="H43" s="18" t="s">
        <v>24</v>
      </c>
      <c r="I43" s="18" t="s">
        <v>100</v>
      </c>
      <c r="J43" s="18" t="s">
        <v>100</v>
      </c>
      <c r="K43" s="19">
        <v>46177.0</v>
      </c>
      <c r="M43" s="29">
        <v>1.0</v>
      </c>
      <c r="N43" s="18" t="s">
        <v>43</v>
      </c>
      <c r="O43" s="18" t="s">
        <v>170</v>
      </c>
    </row>
    <row r="44">
      <c r="A44" s="28">
        <v>43.0</v>
      </c>
      <c r="B44" s="18" t="s">
        <v>171</v>
      </c>
      <c r="C44" s="18"/>
      <c r="D44" s="18"/>
      <c r="E44" s="18" t="s">
        <v>164</v>
      </c>
      <c r="F44" s="18">
        <v>6.0</v>
      </c>
      <c r="H44" s="18" t="s">
        <v>24</v>
      </c>
      <c r="I44" s="18" t="s">
        <v>100</v>
      </c>
      <c r="J44" s="18" t="s">
        <v>100</v>
      </c>
      <c r="K44" s="19">
        <v>46177.0</v>
      </c>
      <c r="M44" s="29">
        <v>2.0</v>
      </c>
      <c r="N44" s="18" t="s">
        <v>43</v>
      </c>
      <c r="O44" s="18" t="s">
        <v>172</v>
      </c>
    </row>
    <row r="45">
      <c r="A45" s="28">
        <v>44.0</v>
      </c>
      <c r="B45" s="18" t="s">
        <v>173</v>
      </c>
      <c r="C45" s="18"/>
      <c r="D45" s="18"/>
      <c r="E45" s="18" t="s">
        <v>164</v>
      </c>
      <c r="F45" s="18">
        <v>7.0</v>
      </c>
      <c r="H45" s="18" t="s">
        <v>24</v>
      </c>
      <c r="I45" s="18" t="s">
        <v>100</v>
      </c>
      <c r="J45" s="18" t="s">
        <v>100</v>
      </c>
      <c r="K45" s="19">
        <v>46177.0</v>
      </c>
      <c r="M45" s="29">
        <v>1.0</v>
      </c>
      <c r="N45" s="18" t="s">
        <v>43</v>
      </c>
      <c r="O45" s="18" t="s">
        <v>131</v>
      </c>
    </row>
    <row r="46">
      <c r="A46" s="28">
        <v>45.0</v>
      </c>
      <c r="B46" s="18" t="s">
        <v>174</v>
      </c>
      <c r="C46" s="18"/>
      <c r="D46" s="18"/>
      <c r="E46" s="18" t="s">
        <v>164</v>
      </c>
      <c r="F46" s="18">
        <v>8.0</v>
      </c>
      <c r="H46" s="18" t="s">
        <v>28</v>
      </c>
      <c r="I46" s="18" t="s">
        <v>100</v>
      </c>
      <c r="J46" s="18" t="s">
        <v>100</v>
      </c>
      <c r="K46" s="19">
        <v>46177.0</v>
      </c>
      <c r="L46" s="20">
        <v>0.4125</v>
      </c>
      <c r="M46" s="29">
        <v>1.0</v>
      </c>
      <c r="N46" s="18" t="s">
        <v>43</v>
      </c>
      <c r="O46" s="18" t="s">
        <v>175</v>
      </c>
    </row>
    <row r="47">
      <c r="A47" s="28">
        <v>46.0</v>
      </c>
      <c r="B47" s="18" t="s">
        <v>176</v>
      </c>
      <c r="C47" s="18"/>
      <c r="D47" s="18"/>
      <c r="E47" s="18" t="s">
        <v>164</v>
      </c>
      <c r="F47" s="18">
        <v>9.0</v>
      </c>
      <c r="H47" s="18" t="s">
        <v>28</v>
      </c>
      <c r="I47" s="18" t="s">
        <v>100</v>
      </c>
      <c r="J47" s="18" t="s">
        <v>100</v>
      </c>
      <c r="K47" s="19">
        <v>46177.0</v>
      </c>
      <c r="M47" s="29">
        <v>4.0</v>
      </c>
      <c r="N47" s="18" t="s">
        <v>43</v>
      </c>
      <c r="O47" s="18" t="s">
        <v>177</v>
      </c>
    </row>
    <row r="48">
      <c r="A48" s="28">
        <v>47.0</v>
      </c>
      <c r="B48" s="18" t="s">
        <v>178</v>
      </c>
      <c r="C48" s="18"/>
      <c r="D48" s="18"/>
      <c r="E48" s="18" t="s">
        <v>164</v>
      </c>
      <c r="F48" s="18">
        <v>10.0</v>
      </c>
      <c r="H48" s="18" t="s">
        <v>28</v>
      </c>
      <c r="I48" s="18" t="s">
        <v>100</v>
      </c>
      <c r="J48" s="18" t="s">
        <v>100</v>
      </c>
      <c r="K48" s="19">
        <v>46177.0</v>
      </c>
      <c r="M48" s="29">
        <v>3.0</v>
      </c>
      <c r="N48" s="18" t="s">
        <v>43</v>
      </c>
      <c r="O48" s="18" t="s">
        <v>179</v>
      </c>
    </row>
    <row r="49">
      <c r="A49" s="28">
        <v>48.0</v>
      </c>
      <c r="B49" s="18" t="s">
        <v>180</v>
      </c>
      <c r="C49" s="18"/>
      <c r="D49" s="18"/>
      <c r="E49" s="18" t="s">
        <v>164</v>
      </c>
      <c r="F49" s="18">
        <v>11.0</v>
      </c>
      <c r="H49" s="18" t="s">
        <v>28</v>
      </c>
      <c r="I49" s="18" t="s">
        <v>100</v>
      </c>
      <c r="J49" s="18" t="s">
        <v>100</v>
      </c>
      <c r="K49" s="19">
        <v>46177.0</v>
      </c>
      <c r="M49" s="29">
        <v>4.0</v>
      </c>
      <c r="N49" s="18" t="s">
        <v>43</v>
      </c>
      <c r="O49" s="18" t="s">
        <v>177</v>
      </c>
    </row>
    <row r="50">
      <c r="A50" s="28">
        <v>49.0</v>
      </c>
      <c r="B50" s="18" t="s">
        <v>181</v>
      </c>
      <c r="C50" s="18"/>
      <c r="D50" s="18"/>
      <c r="E50" s="18" t="s">
        <v>164</v>
      </c>
      <c r="F50" s="18">
        <v>12.0</v>
      </c>
      <c r="H50" s="18" t="s">
        <v>26</v>
      </c>
      <c r="I50" s="18" t="s">
        <v>100</v>
      </c>
      <c r="J50" s="18" t="s">
        <v>100</v>
      </c>
      <c r="K50" s="19">
        <v>46177.0</v>
      </c>
      <c r="L50" s="20">
        <v>0.45625</v>
      </c>
      <c r="M50" s="29">
        <v>1.0</v>
      </c>
      <c r="N50" s="18" t="s">
        <v>43</v>
      </c>
      <c r="O50" s="18" t="s">
        <v>170</v>
      </c>
    </row>
    <row r="51">
      <c r="A51" s="28">
        <v>50.0</v>
      </c>
      <c r="B51" s="18" t="s">
        <v>182</v>
      </c>
      <c r="C51" s="18"/>
      <c r="D51" s="18"/>
      <c r="E51" s="18" t="s">
        <v>183</v>
      </c>
      <c r="F51" s="18">
        <v>1.0</v>
      </c>
      <c r="H51" s="18" t="s">
        <v>26</v>
      </c>
      <c r="I51" s="18" t="s">
        <v>100</v>
      </c>
      <c r="J51" s="18" t="s">
        <v>100</v>
      </c>
      <c r="K51" s="19">
        <v>46177.0</v>
      </c>
      <c r="M51" s="29">
        <v>1.0</v>
      </c>
      <c r="N51" s="18" t="s">
        <v>43</v>
      </c>
      <c r="O51" s="18" t="s">
        <v>184</v>
      </c>
    </row>
    <row r="52">
      <c r="A52" s="28">
        <v>51.0</v>
      </c>
      <c r="B52" s="18" t="s">
        <v>185</v>
      </c>
      <c r="C52" s="18"/>
      <c r="D52" s="18"/>
      <c r="E52" s="18" t="s">
        <v>183</v>
      </c>
      <c r="F52" s="18">
        <v>2.0</v>
      </c>
      <c r="H52" s="18" t="s">
        <v>26</v>
      </c>
      <c r="I52" s="18" t="s">
        <v>100</v>
      </c>
      <c r="J52" s="18" t="s">
        <v>100</v>
      </c>
      <c r="K52" s="19">
        <v>46177.0</v>
      </c>
      <c r="M52" s="29">
        <v>2.0</v>
      </c>
      <c r="N52" s="18" t="s">
        <v>43</v>
      </c>
      <c r="O52" s="18" t="s">
        <v>186</v>
      </c>
    </row>
    <row r="53">
      <c r="A53" s="28">
        <v>52.0</v>
      </c>
      <c r="B53" s="18" t="s">
        <v>187</v>
      </c>
      <c r="C53" s="18"/>
      <c r="D53" s="18"/>
      <c r="E53" s="18" t="s">
        <v>183</v>
      </c>
      <c r="F53" s="18">
        <v>3.0</v>
      </c>
      <c r="H53" s="18" t="s">
        <v>26</v>
      </c>
      <c r="I53" s="18" t="s">
        <v>100</v>
      </c>
      <c r="J53" s="18" t="s">
        <v>100</v>
      </c>
      <c r="K53" s="19">
        <v>46177.0</v>
      </c>
      <c r="M53" s="29">
        <v>1.0</v>
      </c>
      <c r="N53" s="18" t="s">
        <v>43</v>
      </c>
      <c r="O53" s="18" t="s">
        <v>188</v>
      </c>
    </row>
    <row r="54">
      <c r="A54" s="28">
        <v>53.0</v>
      </c>
      <c r="B54" s="18" t="s">
        <v>189</v>
      </c>
      <c r="C54" s="18"/>
      <c r="D54" s="18"/>
      <c r="E54" s="18" t="s">
        <v>183</v>
      </c>
      <c r="F54" s="18">
        <v>4.0</v>
      </c>
      <c r="H54" s="18" t="s">
        <v>24</v>
      </c>
      <c r="I54" s="18" t="s">
        <v>100</v>
      </c>
      <c r="J54" s="18" t="s">
        <v>100</v>
      </c>
      <c r="K54" s="19">
        <v>46177.0</v>
      </c>
      <c r="L54" s="20">
        <v>0.5180555555555556</v>
      </c>
      <c r="M54" s="29">
        <v>4.0</v>
      </c>
      <c r="N54" s="18" t="s">
        <v>43</v>
      </c>
      <c r="O54" s="18" t="s">
        <v>131</v>
      </c>
      <c r="P54" s="18" t="s">
        <v>190</v>
      </c>
    </row>
    <row r="55">
      <c r="A55" s="28">
        <v>54.0</v>
      </c>
      <c r="B55" s="18" t="s">
        <v>191</v>
      </c>
      <c r="C55" s="18"/>
      <c r="D55" s="18"/>
      <c r="E55" s="18" t="s">
        <v>183</v>
      </c>
      <c r="F55" s="18">
        <v>5.0</v>
      </c>
      <c r="H55" s="18" t="s">
        <v>24</v>
      </c>
      <c r="I55" s="18" t="s">
        <v>100</v>
      </c>
      <c r="J55" s="18" t="s">
        <v>100</v>
      </c>
      <c r="K55" s="19">
        <v>46177.0</v>
      </c>
      <c r="M55" s="29">
        <v>3.0</v>
      </c>
      <c r="N55" s="18" t="s">
        <v>43</v>
      </c>
      <c r="O55" s="18" t="s">
        <v>177</v>
      </c>
    </row>
    <row r="56">
      <c r="A56" s="28">
        <v>55.0</v>
      </c>
      <c r="B56" s="18" t="s">
        <v>192</v>
      </c>
      <c r="C56" s="18"/>
      <c r="D56" s="18"/>
      <c r="E56" s="18" t="s">
        <v>183</v>
      </c>
      <c r="F56" s="18">
        <v>6.0</v>
      </c>
      <c r="H56" s="18" t="s">
        <v>24</v>
      </c>
      <c r="I56" s="18" t="s">
        <v>100</v>
      </c>
      <c r="J56" s="18" t="s">
        <v>100</v>
      </c>
      <c r="K56" s="19">
        <v>46177.0</v>
      </c>
      <c r="M56" s="29">
        <v>4.0</v>
      </c>
      <c r="N56" s="18" t="s">
        <v>43</v>
      </c>
      <c r="O56" s="18" t="s">
        <v>170</v>
      </c>
    </row>
    <row r="57">
      <c r="A57" s="28">
        <v>56.0</v>
      </c>
      <c r="B57" s="18" t="s">
        <v>193</v>
      </c>
      <c r="C57" s="18"/>
      <c r="D57" s="18"/>
      <c r="E57" s="18" t="s">
        <v>183</v>
      </c>
      <c r="F57" s="18">
        <v>7.0</v>
      </c>
      <c r="H57" s="18" t="s">
        <v>24</v>
      </c>
      <c r="I57" s="18" t="s">
        <v>100</v>
      </c>
      <c r="J57" s="18" t="s">
        <v>100</v>
      </c>
      <c r="K57" s="19">
        <v>46177.0</v>
      </c>
      <c r="M57" s="29">
        <v>1.0</v>
      </c>
      <c r="N57" s="18" t="s">
        <v>43</v>
      </c>
      <c r="O57" s="18" t="s">
        <v>131</v>
      </c>
      <c r="P57" s="18" t="s">
        <v>194</v>
      </c>
    </row>
    <row r="58">
      <c r="A58" s="28">
        <v>57.0</v>
      </c>
      <c r="B58" s="18" t="s">
        <v>195</v>
      </c>
      <c r="C58" s="18"/>
      <c r="D58" s="18"/>
      <c r="E58" s="18" t="s">
        <v>183</v>
      </c>
      <c r="F58" s="18">
        <v>8.0</v>
      </c>
      <c r="H58" s="18" t="s">
        <v>28</v>
      </c>
      <c r="I58" s="18" t="s">
        <v>100</v>
      </c>
      <c r="J58" s="18" t="s">
        <v>100</v>
      </c>
      <c r="K58" s="19">
        <v>46177.0</v>
      </c>
      <c r="L58" s="20">
        <v>0.5597222222222222</v>
      </c>
      <c r="M58" s="29">
        <v>1.0</v>
      </c>
      <c r="N58" s="18" t="s">
        <v>43</v>
      </c>
      <c r="O58" s="18" t="s">
        <v>179</v>
      </c>
    </row>
    <row r="59">
      <c r="A59" s="28">
        <v>58.0</v>
      </c>
      <c r="B59" s="18" t="s">
        <v>196</v>
      </c>
      <c r="C59" s="18"/>
      <c r="D59" s="18"/>
      <c r="E59" s="18" t="s">
        <v>183</v>
      </c>
      <c r="F59" s="18">
        <v>9.0</v>
      </c>
      <c r="H59" s="18" t="s">
        <v>28</v>
      </c>
      <c r="I59" s="18" t="s">
        <v>100</v>
      </c>
      <c r="J59" s="18" t="s">
        <v>100</v>
      </c>
      <c r="K59" s="19">
        <v>46177.0</v>
      </c>
      <c r="M59" s="29">
        <v>7.0</v>
      </c>
      <c r="N59" s="18" t="s">
        <v>43</v>
      </c>
      <c r="O59" s="18" t="s">
        <v>177</v>
      </c>
    </row>
    <row r="60">
      <c r="A60" s="28">
        <v>59.0</v>
      </c>
      <c r="B60" s="18" t="s">
        <v>197</v>
      </c>
      <c r="C60" s="18"/>
      <c r="D60" s="18"/>
      <c r="E60" s="18" t="s">
        <v>183</v>
      </c>
      <c r="F60" s="18">
        <v>10.0</v>
      </c>
      <c r="H60" s="18" t="s">
        <v>26</v>
      </c>
      <c r="I60" s="18" t="s">
        <v>100</v>
      </c>
      <c r="J60" s="18" t="s">
        <v>100</v>
      </c>
      <c r="K60" s="19">
        <v>46177.0</v>
      </c>
      <c r="L60" s="20">
        <v>0.6111111111111112</v>
      </c>
      <c r="M60" s="29">
        <v>2.0</v>
      </c>
      <c r="N60" s="18" t="s">
        <v>43</v>
      </c>
      <c r="O60" s="18" t="s">
        <v>184</v>
      </c>
    </row>
    <row r="61">
      <c r="A61" s="28">
        <v>60.0</v>
      </c>
      <c r="B61" s="18" t="s">
        <v>198</v>
      </c>
      <c r="C61" s="18"/>
      <c r="D61" s="18"/>
      <c r="E61" s="18" t="s">
        <v>183</v>
      </c>
      <c r="F61" s="18">
        <v>11.0</v>
      </c>
      <c r="H61" s="18" t="s">
        <v>16</v>
      </c>
      <c r="I61" s="18" t="s">
        <v>100</v>
      </c>
      <c r="J61" s="18" t="s">
        <v>100</v>
      </c>
      <c r="K61" s="19">
        <v>46181.0</v>
      </c>
      <c r="L61" s="20">
        <v>0.3923611111111111</v>
      </c>
      <c r="M61" s="29">
        <v>2.0</v>
      </c>
      <c r="N61" s="18" t="s">
        <v>43</v>
      </c>
      <c r="O61" s="18" t="s">
        <v>199</v>
      </c>
    </row>
    <row r="62">
      <c r="A62" s="28">
        <v>61.0</v>
      </c>
      <c r="B62" s="18" t="s">
        <v>200</v>
      </c>
      <c r="C62" s="18"/>
      <c r="D62" s="18"/>
      <c r="E62" s="18" t="s">
        <v>183</v>
      </c>
      <c r="F62" s="18">
        <v>12.0</v>
      </c>
      <c r="H62" s="18" t="s">
        <v>16</v>
      </c>
      <c r="I62" s="18" t="s">
        <v>100</v>
      </c>
      <c r="J62" s="18" t="s">
        <v>100</v>
      </c>
      <c r="K62" s="19">
        <v>46181.0</v>
      </c>
      <c r="M62" s="29">
        <v>2.0</v>
      </c>
      <c r="N62" s="18" t="s">
        <v>43</v>
      </c>
      <c r="O62" s="18" t="s">
        <v>201</v>
      </c>
    </row>
    <row r="63">
      <c r="A63" s="28">
        <v>62.0</v>
      </c>
      <c r="B63" s="18" t="s">
        <v>202</v>
      </c>
      <c r="C63" s="18"/>
      <c r="D63" s="18"/>
      <c r="E63" s="18" t="s">
        <v>203</v>
      </c>
      <c r="F63" s="18">
        <v>1.0</v>
      </c>
      <c r="H63" s="18" t="s">
        <v>45</v>
      </c>
      <c r="I63" s="18" t="s">
        <v>100</v>
      </c>
      <c r="J63" s="18" t="s">
        <v>100</v>
      </c>
      <c r="K63" s="19">
        <v>46181.0</v>
      </c>
      <c r="L63" s="20">
        <v>0.42291666666666666</v>
      </c>
      <c r="M63" s="29">
        <v>1.0</v>
      </c>
      <c r="N63" s="18" t="s">
        <v>43</v>
      </c>
      <c r="O63" s="18" t="s">
        <v>204</v>
      </c>
    </row>
    <row r="64">
      <c r="A64" s="28">
        <v>63.0</v>
      </c>
      <c r="B64" s="18" t="s">
        <v>205</v>
      </c>
      <c r="C64" s="18"/>
      <c r="D64" s="18"/>
      <c r="E64" s="18" t="s">
        <v>203</v>
      </c>
      <c r="F64" s="18">
        <v>2.0</v>
      </c>
      <c r="H64" s="18" t="s">
        <v>45</v>
      </c>
      <c r="I64" s="18" t="s">
        <v>100</v>
      </c>
      <c r="J64" s="18" t="s">
        <v>100</v>
      </c>
      <c r="K64" s="19">
        <v>46181.0</v>
      </c>
      <c r="M64" s="29">
        <v>1.0</v>
      </c>
      <c r="N64" s="18" t="s">
        <v>43</v>
      </c>
      <c r="O64" s="18" t="s">
        <v>186</v>
      </c>
      <c r="P64" s="18" t="s">
        <v>206</v>
      </c>
    </row>
    <row r="65">
      <c r="A65" s="28">
        <v>64.0</v>
      </c>
      <c r="B65" s="18" t="s">
        <v>207</v>
      </c>
      <c r="C65" s="18"/>
      <c r="D65" s="18"/>
      <c r="E65" s="18" t="s">
        <v>203</v>
      </c>
      <c r="F65" s="18">
        <v>3.0</v>
      </c>
      <c r="H65" s="18" t="s">
        <v>14</v>
      </c>
      <c r="I65" s="18" t="s">
        <v>100</v>
      </c>
      <c r="J65" s="18" t="s">
        <v>100</v>
      </c>
      <c r="K65" s="19">
        <v>46181.0</v>
      </c>
      <c r="L65" s="20">
        <v>0.4527777777777778</v>
      </c>
      <c r="M65" s="29">
        <v>5.0</v>
      </c>
      <c r="N65" s="18" t="s">
        <v>43</v>
      </c>
      <c r="O65" s="18" t="s">
        <v>208</v>
      </c>
    </row>
    <row r="66">
      <c r="A66" s="28">
        <v>65.0</v>
      </c>
      <c r="B66" s="18" t="s">
        <v>209</v>
      </c>
      <c r="C66" s="18"/>
      <c r="D66" s="18"/>
      <c r="E66" s="18" t="s">
        <v>203</v>
      </c>
      <c r="F66" s="18">
        <v>4.0</v>
      </c>
      <c r="H66" s="18" t="s">
        <v>14</v>
      </c>
      <c r="I66" s="18" t="s">
        <v>100</v>
      </c>
      <c r="J66" s="18" t="s">
        <v>100</v>
      </c>
      <c r="K66" s="19">
        <v>46181.0</v>
      </c>
      <c r="M66" s="29">
        <v>1.0</v>
      </c>
      <c r="N66" s="18" t="s">
        <v>43</v>
      </c>
      <c r="O66" s="18" t="s">
        <v>210</v>
      </c>
      <c r="P66" s="18" t="s">
        <v>211</v>
      </c>
    </row>
    <row r="67">
      <c r="A67" s="28">
        <v>66.0</v>
      </c>
      <c r="B67" s="18" t="s">
        <v>212</v>
      </c>
      <c r="C67" s="18"/>
      <c r="D67" s="18"/>
      <c r="E67" s="18" t="s">
        <v>203</v>
      </c>
      <c r="F67" s="18">
        <v>5.0</v>
      </c>
      <c r="H67" s="18" t="s">
        <v>14</v>
      </c>
      <c r="I67" s="18" t="s">
        <v>100</v>
      </c>
      <c r="J67" s="18" t="s">
        <v>100</v>
      </c>
      <c r="K67" s="19">
        <v>46181.0</v>
      </c>
      <c r="M67" s="29">
        <v>2.0</v>
      </c>
      <c r="N67" s="18" t="s">
        <v>43</v>
      </c>
      <c r="O67" s="18" t="s">
        <v>213</v>
      </c>
    </row>
    <row r="68">
      <c r="A68" s="28">
        <v>67.0</v>
      </c>
      <c r="B68" s="18" t="s">
        <v>214</v>
      </c>
      <c r="C68" s="18"/>
      <c r="D68" s="18"/>
      <c r="E68" s="18" t="s">
        <v>203</v>
      </c>
      <c r="F68" s="18">
        <v>6.0</v>
      </c>
      <c r="H68" s="18" t="s">
        <v>16</v>
      </c>
      <c r="I68" s="18" t="s">
        <v>100</v>
      </c>
      <c r="J68" s="18" t="s">
        <v>100</v>
      </c>
      <c r="K68" s="19">
        <v>46181.0</v>
      </c>
      <c r="L68" s="20">
        <v>0.5243055555555556</v>
      </c>
      <c r="M68" s="29">
        <v>1.0</v>
      </c>
      <c r="N68" s="18" t="s">
        <v>43</v>
      </c>
      <c r="O68" s="18" t="s">
        <v>215</v>
      </c>
      <c r="P68" s="18" t="s">
        <v>216</v>
      </c>
    </row>
    <row r="69">
      <c r="A69" s="28">
        <v>68.0</v>
      </c>
      <c r="B69" s="18" t="s">
        <v>217</v>
      </c>
      <c r="C69" s="18"/>
      <c r="D69" s="18"/>
      <c r="E69" s="18" t="s">
        <v>203</v>
      </c>
      <c r="F69" s="18">
        <v>7.0</v>
      </c>
      <c r="H69" s="18" t="s">
        <v>16</v>
      </c>
      <c r="I69" s="18" t="s">
        <v>100</v>
      </c>
      <c r="J69" s="18" t="s">
        <v>100</v>
      </c>
      <c r="K69" s="19">
        <v>46181.0</v>
      </c>
      <c r="M69" s="29">
        <v>2.0</v>
      </c>
      <c r="N69" s="18" t="s">
        <v>43</v>
      </c>
      <c r="O69" s="18" t="s">
        <v>199</v>
      </c>
    </row>
    <row r="70">
      <c r="A70" s="28">
        <v>69.0</v>
      </c>
      <c r="B70" s="18" t="s">
        <v>218</v>
      </c>
      <c r="C70" s="18"/>
      <c r="D70" s="18"/>
      <c r="E70" s="18" t="s">
        <v>203</v>
      </c>
      <c r="F70" s="18">
        <v>8.0</v>
      </c>
      <c r="H70" s="18" t="s">
        <v>16</v>
      </c>
      <c r="I70" s="18" t="s">
        <v>100</v>
      </c>
      <c r="J70" s="18" t="s">
        <v>100</v>
      </c>
      <c r="K70" s="19">
        <v>46181.0</v>
      </c>
      <c r="M70" s="29">
        <v>1.0</v>
      </c>
      <c r="N70" s="18" t="s">
        <v>43</v>
      </c>
      <c r="O70" s="18" t="s">
        <v>215</v>
      </c>
    </row>
    <row r="71">
      <c r="A71" s="28">
        <v>70.0</v>
      </c>
      <c r="B71" s="18" t="s">
        <v>219</v>
      </c>
      <c r="C71" s="18"/>
      <c r="D71" s="18"/>
      <c r="E71" s="18" t="s">
        <v>203</v>
      </c>
      <c r="F71" s="18">
        <v>9.0</v>
      </c>
      <c r="H71" s="18" t="s">
        <v>14</v>
      </c>
      <c r="I71" s="18" t="s">
        <v>100</v>
      </c>
      <c r="J71" s="18" t="s">
        <v>100</v>
      </c>
      <c r="K71" s="19">
        <v>46181.0</v>
      </c>
      <c r="L71" s="20">
        <v>0.5888888888888889</v>
      </c>
      <c r="M71" s="29">
        <v>3.0</v>
      </c>
      <c r="N71" s="18" t="s">
        <v>43</v>
      </c>
      <c r="O71" s="18" t="s">
        <v>213</v>
      </c>
    </row>
    <row r="72">
      <c r="A72" s="28">
        <v>71.0</v>
      </c>
      <c r="B72" s="18" t="s">
        <v>220</v>
      </c>
      <c r="C72" s="18"/>
      <c r="D72" s="18"/>
      <c r="E72" s="18" t="s">
        <v>203</v>
      </c>
      <c r="F72" s="18">
        <v>10.0</v>
      </c>
      <c r="H72" s="18" t="s">
        <v>14</v>
      </c>
      <c r="I72" s="18" t="s">
        <v>100</v>
      </c>
      <c r="J72" s="18" t="s">
        <v>100</v>
      </c>
      <c r="K72" s="19">
        <v>46181.0</v>
      </c>
      <c r="L72" s="20"/>
      <c r="M72" s="29">
        <v>2.0</v>
      </c>
      <c r="N72" s="18" t="s">
        <v>43</v>
      </c>
      <c r="O72" s="18" t="s">
        <v>208</v>
      </c>
    </row>
    <row r="73">
      <c r="A73" s="28">
        <v>72.0</v>
      </c>
      <c r="B73" s="18" t="s">
        <v>221</v>
      </c>
      <c r="C73" s="18"/>
      <c r="D73" s="18"/>
      <c r="E73" s="18" t="s">
        <v>203</v>
      </c>
      <c r="F73" s="18">
        <v>11.0</v>
      </c>
      <c r="H73" s="18" t="s">
        <v>14</v>
      </c>
      <c r="I73" s="18" t="s">
        <v>100</v>
      </c>
      <c r="J73" s="18" t="s">
        <v>100</v>
      </c>
      <c r="K73" s="19">
        <v>46181.0</v>
      </c>
      <c r="L73" s="20"/>
      <c r="M73" s="29">
        <v>3.0</v>
      </c>
      <c r="N73" s="18" t="s">
        <v>43</v>
      </c>
      <c r="O73" s="18" t="s">
        <v>222</v>
      </c>
    </row>
    <row r="74">
      <c r="A74" s="28">
        <v>73.0</v>
      </c>
      <c r="B74" s="18" t="s">
        <v>223</v>
      </c>
      <c r="C74" s="18"/>
      <c r="D74" s="18"/>
      <c r="E74" s="18" t="s">
        <v>203</v>
      </c>
      <c r="F74" s="18">
        <v>12.0</v>
      </c>
      <c r="H74" s="18" t="s">
        <v>14</v>
      </c>
      <c r="I74" s="18" t="s">
        <v>100</v>
      </c>
      <c r="J74" s="18" t="s">
        <v>100</v>
      </c>
      <c r="K74" s="19">
        <v>46181.0</v>
      </c>
      <c r="M74" s="29">
        <v>1.0</v>
      </c>
      <c r="N74" s="18" t="s">
        <v>43</v>
      </c>
      <c r="O74" s="18" t="s">
        <v>213</v>
      </c>
    </row>
    <row r="75">
      <c r="A75" s="40"/>
      <c r="B75" s="18" t="s">
        <v>224</v>
      </c>
      <c r="C75" s="18"/>
      <c r="D75" s="18"/>
      <c r="E75" s="18"/>
      <c r="F75" s="18"/>
      <c r="G75" s="18" t="s">
        <v>99</v>
      </c>
      <c r="H75" s="18" t="s">
        <v>20</v>
      </c>
      <c r="K75" s="19">
        <v>46197.0</v>
      </c>
      <c r="L75" s="20">
        <v>0.3923611111111111</v>
      </c>
      <c r="M75" s="29">
        <v>1.0</v>
      </c>
      <c r="N75" s="18" t="s">
        <v>43</v>
      </c>
      <c r="O75" s="18" t="s">
        <v>225</v>
      </c>
    </row>
    <row r="76">
      <c r="A76" s="40"/>
      <c r="B76" s="18" t="s">
        <v>226</v>
      </c>
      <c r="C76" s="18"/>
      <c r="D76" s="18"/>
      <c r="E76" s="18"/>
      <c r="F76" s="18"/>
      <c r="G76" s="18" t="s">
        <v>124</v>
      </c>
      <c r="H76" s="18" t="s">
        <v>20</v>
      </c>
      <c r="K76" s="19">
        <v>46197.0</v>
      </c>
      <c r="M76" s="29">
        <v>1.0</v>
      </c>
      <c r="N76" s="18" t="s">
        <v>43</v>
      </c>
      <c r="O76" s="18" t="s">
        <v>227</v>
      </c>
    </row>
    <row r="77">
      <c r="B77" s="18" t="s">
        <v>228</v>
      </c>
      <c r="C77" s="18"/>
      <c r="D77" s="18"/>
      <c r="E77" s="18"/>
      <c r="F77" s="18"/>
      <c r="G77" s="18" t="s">
        <v>142</v>
      </c>
      <c r="H77" s="18" t="s">
        <v>20</v>
      </c>
      <c r="K77" s="19">
        <v>46197.0</v>
      </c>
      <c r="M77" s="29">
        <v>1.0</v>
      </c>
      <c r="N77" s="18" t="s">
        <v>43</v>
      </c>
      <c r="O77" s="18" t="s">
        <v>229</v>
      </c>
    </row>
    <row r="78">
      <c r="A78" s="40"/>
      <c r="B78" s="18" t="s">
        <v>230</v>
      </c>
      <c r="G78" s="18" t="s">
        <v>164</v>
      </c>
      <c r="H78" s="18" t="s">
        <v>20</v>
      </c>
      <c r="K78" s="19">
        <v>46197.0</v>
      </c>
      <c r="M78" s="29">
        <v>1.0</v>
      </c>
      <c r="N78" s="18" t="s">
        <v>43</v>
      </c>
      <c r="O78" s="18" t="s">
        <v>229</v>
      </c>
    </row>
    <row r="79">
      <c r="A79" s="40"/>
      <c r="B79" s="18" t="s">
        <v>231</v>
      </c>
      <c r="G79" s="18" t="s">
        <v>183</v>
      </c>
      <c r="H79" s="18" t="s">
        <v>20</v>
      </c>
      <c r="K79" s="19">
        <v>46197.0</v>
      </c>
      <c r="M79" s="29">
        <v>1.0</v>
      </c>
      <c r="N79" s="18" t="s">
        <v>43</v>
      </c>
      <c r="O79" s="18" t="s">
        <v>232</v>
      </c>
    </row>
    <row r="80">
      <c r="A80" s="40"/>
      <c r="B80" s="18" t="s">
        <v>233</v>
      </c>
      <c r="G80" s="18" t="s">
        <v>203</v>
      </c>
      <c r="H80" s="18" t="s">
        <v>20</v>
      </c>
      <c r="K80" s="19">
        <v>46197.0</v>
      </c>
      <c r="M80" s="29">
        <v>2.0</v>
      </c>
      <c r="N80" s="18" t="s">
        <v>43</v>
      </c>
      <c r="O80" s="18" t="s">
        <v>131</v>
      </c>
    </row>
    <row r="81">
      <c r="A81" s="40"/>
      <c r="B81" s="18" t="s">
        <v>234</v>
      </c>
      <c r="G81" s="18" t="s">
        <v>235</v>
      </c>
      <c r="H81" s="18" t="s">
        <v>22</v>
      </c>
      <c r="K81" s="19">
        <v>46197.0</v>
      </c>
      <c r="L81" s="20">
        <v>0.4340277777777778</v>
      </c>
      <c r="M81" s="29">
        <v>1.0</v>
      </c>
      <c r="N81" s="18" t="s">
        <v>43</v>
      </c>
      <c r="O81" s="18" t="s">
        <v>236</v>
      </c>
    </row>
    <row r="82">
      <c r="A82" s="40"/>
      <c r="B82" s="18" t="s">
        <v>237</v>
      </c>
      <c r="G82" s="18" t="s">
        <v>238</v>
      </c>
      <c r="H82" s="18" t="s">
        <v>22</v>
      </c>
      <c r="K82" s="19">
        <v>46197.0</v>
      </c>
      <c r="M82" s="29">
        <v>1.0</v>
      </c>
      <c r="N82" s="18" t="s">
        <v>43</v>
      </c>
      <c r="O82" s="18" t="s">
        <v>239</v>
      </c>
    </row>
    <row r="83">
      <c r="A83" s="40"/>
      <c r="B83" s="18" t="s">
        <v>240</v>
      </c>
      <c r="G83" s="18" t="s">
        <v>241</v>
      </c>
      <c r="H83" s="18" t="s">
        <v>22</v>
      </c>
      <c r="K83" s="19">
        <v>46197.0</v>
      </c>
      <c r="M83" s="29">
        <v>3.0</v>
      </c>
      <c r="N83" s="18" t="s">
        <v>43</v>
      </c>
      <c r="O83" s="18" t="s">
        <v>239</v>
      </c>
    </row>
    <row r="84">
      <c r="A84" s="40"/>
      <c r="B84" s="18" t="s">
        <v>242</v>
      </c>
      <c r="G84" s="18" t="s">
        <v>243</v>
      </c>
      <c r="H84" s="18" t="s">
        <v>65</v>
      </c>
      <c r="K84" s="19">
        <v>46197.0</v>
      </c>
      <c r="L84" s="20">
        <v>0.4930555555555556</v>
      </c>
      <c r="M84" s="29">
        <v>1.0</v>
      </c>
      <c r="N84" s="18" t="s">
        <v>43</v>
      </c>
      <c r="O84" s="18" t="s">
        <v>100</v>
      </c>
      <c r="P84" s="18" t="s">
        <v>244</v>
      </c>
    </row>
    <row r="85">
      <c r="A85" s="40"/>
      <c r="B85" s="18" t="s">
        <v>245</v>
      </c>
      <c r="G85" s="18" t="s">
        <v>246</v>
      </c>
      <c r="H85" s="18" t="s">
        <v>65</v>
      </c>
      <c r="K85" s="19">
        <v>46197.0</v>
      </c>
      <c r="M85" s="29">
        <v>1.0</v>
      </c>
      <c r="N85" s="18" t="s">
        <v>43</v>
      </c>
      <c r="O85" s="18" t="s">
        <v>247</v>
      </c>
    </row>
    <row r="86">
      <c r="A86" s="40"/>
      <c r="B86" s="18" t="s">
        <v>248</v>
      </c>
      <c r="G86" s="18" t="s">
        <v>249</v>
      </c>
      <c r="H86" s="18" t="s">
        <v>65</v>
      </c>
      <c r="K86" s="19">
        <v>46197.0</v>
      </c>
      <c r="M86" s="29">
        <v>2.0</v>
      </c>
      <c r="N86" s="18" t="s">
        <v>43</v>
      </c>
      <c r="O86" s="18" t="s">
        <v>250</v>
      </c>
    </row>
    <row r="87">
      <c r="A87" s="40"/>
      <c r="B87" s="18" t="s">
        <v>251</v>
      </c>
      <c r="G87" s="18" t="s">
        <v>252</v>
      </c>
      <c r="H87" s="18" t="s">
        <v>65</v>
      </c>
      <c r="K87" s="19">
        <v>46197.0</v>
      </c>
      <c r="M87" s="29">
        <v>1.0</v>
      </c>
      <c r="N87" s="18" t="s">
        <v>43</v>
      </c>
      <c r="O87" s="18" t="s">
        <v>253</v>
      </c>
    </row>
    <row r="88">
      <c r="A88" s="40"/>
      <c r="B88" s="18" t="s">
        <v>254</v>
      </c>
      <c r="G88" s="18" t="s">
        <v>255</v>
      </c>
      <c r="H88" s="18" t="s">
        <v>65</v>
      </c>
      <c r="K88" s="19">
        <v>46197.0</v>
      </c>
      <c r="M88" s="29">
        <v>1.0</v>
      </c>
      <c r="N88" s="18" t="s">
        <v>43</v>
      </c>
      <c r="O88" s="18" t="s">
        <v>256</v>
      </c>
    </row>
    <row r="89">
      <c r="A89" s="40"/>
      <c r="B89" s="18" t="s">
        <v>257</v>
      </c>
      <c r="G89" s="18" t="s">
        <v>258</v>
      </c>
      <c r="H89" s="18" t="s">
        <v>20</v>
      </c>
      <c r="K89" s="19">
        <v>46197.0</v>
      </c>
      <c r="L89" s="20">
        <v>0.5416666666666666</v>
      </c>
      <c r="M89" s="29">
        <v>2.0</v>
      </c>
      <c r="O89" s="18" t="s">
        <v>227</v>
      </c>
    </row>
    <row r="90">
      <c r="A90" s="40"/>
      <c r="B90" s="18" t="s">
        <v>259</v>
      </c>
      <c r="G90" s="18" t="s">
        <v>260</v>
      </c>
      <c r="H90" s="18" t="s">
        <v>20</v>
      </c>
      <c r="K90" s="19">
        <v>46197.0</v>
      </c>
      <c r="M90" s="29">
        <v>2.0</v>
      </c>
      <c r="O90" s="18" t="s">
        <v>225</v>
      </c>
    </row>
    <row r="91">
      <c r="A91" s="40"/>
      <c r="B91" s="18" t="s">
        <v>261</v>
      </c>
      <c r="G91" s="18" t="s">
        <v>262</v>
      </c>
      <c r="H91" s="18" t="s">
        <v>20</v>
      </c>
      <c r="K91" s="19">
        <v>46197.0</v>
      </c>
      <c r="M91" s="29">
        <v>2.0</v>
      </c>
      <c r="O91" s="18" t="s">
        <v>229</v>
      </c>
    </row>
    <row r="92">
      <c r="A92" s="40"/>
      <c r="B92" s="18" t="s">
        <v>263</v>
      </c>
      <c r="G92" s="18" t="s">
        <v>264</v>
      </c>
      <c r="H92" s="18" t="s">
        <v>20</v>
      </c>
      <c r="K92" s="19">
        <v>46197.0</v>
      </c>
      <c r="M92" s="29">
        <v>1.0</v>
      </c>
      <c r="O92" s="18" t="s">
        <v>232</v>
      </c>
    </row>
    <row r="93">
      <c r="A93" s="40"/>
      <c r="B93" s="18" t="s">
        <v>265</v>
      </c>
      <c r="G93" s="18" t="s">
        <v>266</v>
      </c>
      <c r="H93" s="18" t="s">
        <v>20</v>
      </c>
      <c r="K93" s="19">
        <v>46197.0</v>
      </c>
      <c r="M93" s="29">
        <v>7.0</v>
      </c>
      <c r="O93" s="18" t="s">
        <v>131</v>
      </c>
    </row>
    <row r="94">
      <c r="A94" s="40"/>
      <c r="B94" s="18" t="s">
        <v>267</v>
      </c>
      <c r="G94" s="18" t="s">
        <v>268</v>
      </c>
      <c r="H94" s="18" t="s">
        <v>20</v>
      </c>
      <c r="K94" s="19">
        <v>46197.0</v>
      </c>
      <c r="M94" s="29">
        <v>2.0</v>
      </c>
      <c r="O94" s="18" t="s">
        <v>225</v>
      </c>
    </row>
    <row r="95">
      <c r="A95" s="40"/>
      <c r="B95" s="18" t="s">
        <v>269</v>
      </c>
      <c r="G95" s="18" t="s">
        <v>270</v>
      </c>
      <c r="H95" s="18" t="s">
        <v>22</v>
      </c>
      <c r="K95" s="19">
        <v>46197.0</v>
      </c>
      <c r="L95" s="20">
        <v>0.5902777777777778</v>
      </c>
      <c r="M95" s="29">
        <v>1.0</v>
      </c>
      <c r="O95" s="18" t="s">
        <v>271</v>
      </c>
      <c r="P95" s="18" t="s">
        <v>206</v>
      </c>
    </row>
    <row r="96">
      <c r="A96" s="40"/>
      <c r="B96" s="18" t="s">
        <v>272</v>
      </c>
      <c r="G96" s="18" t="s">
        <v>273</v>
      </c>
      <c r="H96" s="18" t="s">
        <v>22</v>
      </c>
      <c r="K96" s="19">
        <v>46197.0</v>
      </c>
      <c r="M96" s="29">
        <v>1.0</v>
      </c>
      <c r="O96" s="18" t="s">
        <v>274</v>
      </c>
    </row>
    <row r="97">
      <c r="A97" s="40"/>
      <c r="B97" s="18" t="s">
        <v>275</v>
      </c>
      <c r="G97" s="18" t="s">
        <v>276</v>
      </c>
      <c r="H97" s="18" t="s">
        <v>22</v>
      </c>
      <c r="K97" s="19">
        <v>46197.0</v>
      </c>
      <c r="M97" s="29">
        <v>1.0</v>
      </c>
      <c r="O97" s="18" t="s">
        <v>271</v>
      </c>
      <c r="P97" s="18" t="s">
        <v>277</v>
      </c>
    </row>
    <row r="98">
      <c r="A98" s="40"/>
      <c r="B98" s="18" t="s">
        <v>278</v>
      </c>
      <c r="G98" s="18" t="s">
        <v>279</v>
      </c>
      <c r="H98" s="18" t="s">
        <v>65</v>
      </c>
      <c r="K98" s="19">
        <v>46197.0</v>
      </c>
      <c r="L98" s="20">
        <v>0.6166666666666667</v>
      </c>
      <c r="M98" s="29">
        <v>1.0</v>
      </c>
      <c r="O98" s="18" t="s">
        <v>227</v>
      </c>
    </row>
    <row r="99">
      <c r="A99" s="40"/>
      <c r="B99" s="18" t="s">
        <v>280</v>
      </c>
      <c r="G99" s="18" t="s">
        <v>281</v>
      </c>
      <c r="H99" s="18" t="s">
        <v>65</v>
      </c>
      <c r="K99" s="19">
        <v>46197.0</v>
      </c>
      <c r="M99" s="29">
        <v>4.0</v>
      </c>
      <c r="O99" s="18" t="s">
        <v>282</v>
      </c>
    </row>
    <row r="100">
      <c r="A100" s="40"/>
      <c r="B100" s="18" t="s">
        <v>283</v>
      </c>
      <c r="G100" s="18" t="s">
        <v>284</v>
      </c>
      <c r="H100" s="18" t="s">
        <v>65</v>
      </c>
      <c r="K100" s="19">
        <v>46197.0</v>
      </c>
      <c r="M100" s="29">
        <v>1.0</v>
      </c>
      <c r="O100" s="18" t="s">
        <v>256</v>
      </c>
    </row>
    <row r="101">
      <c r="A101" s="40"/>
      <c r="B101" s="18" t="s">
        <v>285</v>
      </c>
      <c r="G101" s="18" t="s">
        <v>286</v>
      </c>
      <c r="H101" s="18" t="s">
        <v>29</v>
      </c>
      <c r="K101" s="19">
        <v>46198.0</v>
      </c>
      <c r="L101" s="20">
        <v>0.34375</v>
      </c>
      <c r="M101" s="29">
        <v>1.0</v>
      </c>
      <c r="O101" s="18" t="s">
        <v>256</v>
      </c>
      <c r="P101" s="18" t="s">
        <v>206</v>
      </c>
    </row>
    <row r="102">
      <c r="A102" s="40"/>
      <c r="B102" s="18" t="s">
        <v>287</v>
      </c>
      <c r="G102" s="18" t="s">
        <v>288</v>
      </c>
      <c r="H102" s="18" t="s">
        <v>29</v>
      </c>
      <c r="K102" s="19">
        <v>46198.0</v>
      </c>
      <c r="M102" s="29">
        <v>1.0</v>
      </c>
      <c r="O102" s="18" t="s">
        <v>289</v>
      </c>
    </row>
    <row r="103">
      <c r="A103" s="40"/>
      <c r="B103" s="18" t="s">
        <v>290</v>
      </c>
      <c r="G103" s="18" t="s">
        <v>291</v>
      </c>
      <c r="H103" s="18" t="s">
        <v>26</v>
      </c>
      <c r="K103" s="19">
        <v>46198.0</v>
      </c>
      <c r="L103" s="20">
        <v>0.3715277777777778</v>
      </c>
      <c r="M103" s="29">
        <v>1.0</v>
      </c>
      <c r="O103" s="18" t="s">
        <v>100</v>
      </c>
    </row>
    <row r="104">
      <c r="A104" s="40"/>
      <c r="B104" s="18" t="s">
        <v>292</v>
      </c>
      <c r="G104" s="18" t="s">
        <v>293</v>
      </c>
      <c r="H104" s="18" t="s">
        <v>26</v>
      </c>
      <c r="K104" s="19">
        <v>46198.0</v>
      </c>
      <c r="M104" s="29">
        <v>3.0</v>
      </c>
      <c r="O104" s="18" t="s">
        <v>294</v>
      </c>
    </row>
    <row r="105">
      <c r="A105" s="40"/>
      <c r="B105" s="18" t="s">
        <v>295</v>
      </c>
      <c r="G105" s="18" t="s">
        <v>296</v>
      </c>
      <c r="H105" s="18" t="s">
        <v>26</v>
      </c>
      <c r="K105" s="19">
        <v>46198.0</v>
      </c>
      <c r="M105" s="29">
        <v>4.0</v>
      </c>
      <c r="O105" s="18" t="s">
        <v>294</v>
      </c>
      <c r="P105" s="18" t="s">
        <v>297</v>
      </c>
    </row>
    <row r="106">
      <c r="A106" s="40"/>
      <c r="B106" s="18" t="s">
        <v>298</v>
      </c>
      <c r="G106" s="18" t="s">
        <v>299</v>
      </c>
      <c r="H106" s="18" t="s">
        <v>26</v>
      </c>
      <c r="K106" s="19">
        <v>46198.0</v>
      </c>
      <c r="M106" s="29">
        <v>1.0</v>
      </c>
      <c r="O106" s="18" t="s">
        <v>300</v>
      </c>
    </row>
    <row r="107">
      <c r="A107" s="40"/>
      <c r="B107" s="18" t="s">
        <v>301</v>
      </c>
      <c r="G107" s="18" t="s">
        <v>302</v>
      </c>
      <c r="H107" s="18" t="s">
        <v>26</v>
      </c>
      <c r="K107" s="19">
        <v>46198.0</v>
      </c>
      <c r="M107" s="29">
        <v>1.0</v>
      </c>
      <c r="O107" s="18" t="s">
        <v>131</v>
      </c>
    </row>
    <row r="108">
      <c r="A108" s="40"/>
      <c r="B108" s="18" t="s">
        <v>303</v>
      </c>
      <c r="G108" s="18" t="s">
        <v>304</v>
      </c>
      <c r="H108" s="18" t="s">
        <v>24</v>
      </c>
      <c r="K108" s="19">
        <v>46198.0</v>
      </c>
      <c r="L108" s="20">
        <v>0.4097222222222222</v>
      </c>
      <c r="M108" s="29">
        <v>4.0</v>
      </c>
      <c r="O108" s="18" t="s">
        <v>131</v>
      </c>
    </row>
    <row r="109">
      <c r="A109" s="40"/>
      <c r="B109" s="18" t="s">
        <v>305</v>
      </c>
      <c r="G109" s="18" t="s">
        <v>306</v>
      </c>
      <c r="H109" s="18" t="s">
        <v>24</v>
      </c>
      <c r="K109" s="19">
        <v>46198.0</v>
      </c>
      <c r="M109" s="29">
        <v>1.0</v>
      </c>
      <c r="O109" s="18" t="s">
        <v>307</v>
      </c>
    </row>
    <row r="110">
      <c r="A110" s="40"/>
      <c r="B110" s="18" t="s">
        <v>308</v>
      </c>
      <c r="G110" s="18" t="s">
        <v>309</v>
      </c>
      <c r="H110" s="18" t="s">
        <v>24</v>
      </c>
      <c r="K110" s="19">
        <v>46198.0</v>
      </c>
      <c r="M110" s="29">
        <v>1.0</v>
      </c>
      <c r="O110" s="18" t="s">
        <v>307</v>
      </c>
    </row>
    <row r="111">
      <c r="A111" s="40"/>
      <c r="B111" s="18" t="s">
        <v>310</v>
      </c>
      <c r="G111" s="18" t="s">
        <v>311</v>
      </c>
      <c r="H111" s="18" t="s">
        <v>24</v>
      </c>
      <c r="K111" s="19">
        <v>46198.0</v>
      </c>
      <c r="M111" s="29">
        <v>1.0</v>
      </c>
      <c r="O111" s="18" t="s">
        <v>312</v>
      </c>
    </row>
    <row r="112">
      <c r="A112" s="40"/>
      <c r="B112" s="18" t="s">
        <v>313</v>
      </c>
      <c r="G112" s="18" t="s">
        <v>314</v>
      </c>
      <c r="H112" s="18" t="s">
        <v>24</v>
      </c>
      <c r="K112" s="19">
        <v>46198.0</v>
      </c>
      <c r="M112" s="29">
        <v>4.0</v>
      </c>
      <c r="O112" s="18" t="s">
        <v>315</v>
      </c>
    </row>
    <row r="113">
      <c r="A113" s="40"/>
      <c r="B113" s="18" t="s">
        <v>316</v>
      </c>
      <c r="G113" s="18" t="s">
        <v>317</v>
      </c>
      <c r="H113" s="18" t="s">
        <v>24</v>
      </c>
      <c r="K113" s="19">
        <v>46198.0</v>
      </c>
      <c r="M113" s="29">
        <v>4.0</v>
      </c>
      <c r="O113" s="18" t="s">
        <v>131</v>
      </c>
    </row>
    <row r="114">
      <c r="A114" s="40"/>
      <c r="B114" s="18" t="s">
        <v>318</v>
      </c>
      <c r="G114" s="18" t="s">
        <v>319</v>
      </c>
      <c r="H114" s="18" t="s">
        <v>29</v>
      </c>
      <c r="K114" s="19">
        <v>46198.0</v>
      </c>
      <c r="L114" s="20">
        <v>0.4930555555555556</v>
      </c>
      <c r="M114" s="29">
        <v>1.0</v>
      </c>
      <c r="O114" s="18" t="s">
        <v>320</v>
      </c>
    </row>
    <row r="115">
      <c r="A115" s="40"/>
      <c r="B115" s="18" t="s">
        <v>321</v>
      </c>
      <c r="G115" s="18" t="s">
        <v>322</v>
      </c>
      <c r="H115" s="18" t="s">
        <v>29</v>
      </c>
      <c r="K115" s="19">
        <v>46198.0</v>
      </c>
      <c r="M115" s="29">
        <v>1.0</v>
      </c>
      <c r="O115" s="18" t="s">
        <v>289</v>
      </c>
    </row>
    <row r="116">
      <c r="A116" s="40"/>
      <c r="B116" s="18" t="s">
        <v>323</v>
      </c>
      <c r="G116" s="18" t="s">
        <v>324</v>
      </c>
      <c r="H116" s="18" t="s">
        <v>29</v>
      </c>
      <c r="K116" s="19">
        <v>46198.0</v>
      </c>
      <c r="M116" s="29">
        <v>1.0</v>
      </c>
      <c r="O116" s="18" t="s">
        <v>312</v>
      </c>
    </row>
    <row r="117">
      <c r="A117" s="28" t="s">
        <v>325</v>
      </c>
      <c r="B117" s="18" t="s">
        <v>326</v>
      </c>
      <c r="G117" s="18" t="s">
        <v>327</v>
      </c>
      <c r="H117" s="18" t="s">
        <v>26</v>
      </c>
      <c r="K117" s="19">
        <v>46198.0</v>
      </c>
      <c r="L117" s="20">
        <v>0.5381944444444444</v>
      </c>
      <c r="M117" s="29">
        <v>3.0</v>
      </c>
      <c r="O117" s="18" t="s">
        <v>294</v>
      </c>
    </row>
    <row r="118">
      <c r="A118" s="40"/>
      <c r="B118" s="18" t="s">
        <v>328</v>
      </c>
      <c r="G118" s="18" t="s">
        <v>329</v>
      </c>
      <c r="H118" s="18" t="s">
        <v>26</v>
      </c>
      <c r="K118" s="19">
        <v>46198.0</v>
      </c>
      <c r="M118" s="29">
        <v>3.0</v>
      </c>
      <c r="O118" s="18" t="s">
        <v>294</v>
      </c>
    </row>
    <row r="119">
      <c r="A119" s="40"/>
      <c r="B119" s="18" t="s">
        <v>330</v>
      </c>
      <c r="G119" s="18" t="s">
        <v>331</v>
      </c>
      <c r="H119" s="18" t="s">
        <v>26</v>
      </c>
      <c r="K119" s="19">
        <v>46198.0</v>
      </c>
      <c r="M119" s="29">
        <v>1.0</v>
      </c>
      <c r="O119" s="18" t="s">
        <v>256</v>
      </c>
    </row>
    <row r="120">
      <c r="A120" s="40"/>
      <c r="B120" s="18" t="s">
        <v>332</v>
      </c>
      <c r="G120" s="18" t="s">
        <v>333</v>
      </c>
      <c r="H120" s="18" t="s">
        <v>24</v>
      </c>
      <c r="K120" s="19">
        <v>46198.0</v>
      </c>
      <c r="L120" s="20">
        <v>0.5729166666666666</v>
      </c>
      <c r="M120" s="29">
        <v>3.0</v>
      </c>
      <c r="O120" s="18" t="s">
        <v>334</v>
      </c>
    </row>
    <row r="121">
      <c r="A121" s="40"/>
      <c r="B121" s="18" t="s">
        <v>335</v>
      </c>
      <c r="G121" s="18" t="s">
        <v>336</v>
      </c>
      <c r="H121" s="18" t="s">
        <v>24</v>
      </c>
      <c r="K121" s="19">
        <v>46198.0</v>
      </c>
      <c r="M121" s="29">
        <v>3.0</v>
      </c>
      <c r="O121" s="18" t="s">
        <v>315</v>
      </c>
    </row>
    <row r="122">
      <c r="B122" s="18" t="s">
        <v>337</v>
      </c>
      <c r="H122" s="18" t="s">
        <v>7</v>
      </c>
      <c r="I122" s="19">
        <v>46201.0</v>
      </c>
      <c r="J122" s="20">
        <v>0.4444444444444444</v>
      </c>
      <c r="K122" s="19">
        <v>46202.0</v>
      </c>
      <c r="L122" s="20">
        <v>0.4444444444444444</v>
      </c>
      <c r="M122" s="18">
        <v>2.0</v>
      </c>
      <c r="N122" s="18" t="s">
        <v>44</v>
      </c>
      <c r="O122" s="18" t="s">
        <v>100</v>
      </c>
    </row>
    <row r="123">
      <c r="B123" s="18" t="s">
        <v>338</v>
      </c>
      <c r="H123" s="18" t="s">
        <v>31</v>
      </c>
      <c r="I123" s="19">
        <v>46201.0</v>
      </c>
      <c r="J123" s="20">
        <v>0.46041666666666664</v>
      </c>
      <c r="K123" s="19">
        <v>46202.0</v>
      </c>
      <c r="L123" s="20">
        <v>0.4618055555555556</v>
      </c>
      <c r="M123" s="18">
        <v>1.0</v>
      </c>
      <c r="N123" s="18" t="s">
        <v>44</v>
      </c>
      <c r="O123" s="18" t="s">
        <v>100</v>
      </c>
    </row>
    <row r="124">
      <c r="B124" s="18" t="s">
        <v>339</v>
      </c>
      <c r="H124" s="18" t="s">
        <v>16</v>
      </c>
      <c r="I124" s="19">
        <v>46201.0</v>
      </c>
      <c r="J124" s="20">
        <v>0.4791666666666667</v>
      </c>
      <c r="K124" s="19">
        <v>46202.0</v>
      </c>
      <c r="L124" s="20">
        <v>0.4798611111111111</v>
      </c>
      <c r="M124" s="18">
        <v>3.0</v>
      </c>
      <c r="N124" s="18" t="s">
        <v>44</v>
      </c>
      <c r="O124" s="18" t="s">
        <v>100</v>
      </c>
    </row>
    <row r="125">
      <c r="B125" s="18" t="s">
        <v>340</v>
      </c>
      <c r="H125" s="18" t="s">
        <v>14</v>
      </c>
      <c r="I125" s="19">
        <v>46201.0</v>
      </c>
      <c r="J125" s="20">
        <v>0.4895833333333333</v>
      </c>
      <c r="K125" s="19">
        <v>46202.0</v>
      </c>
      <c r="L125" s="20">
        <v>0.49166666666666664</v>
      </c>
      <c r="M125" s="18">
        <v>4.0</v>
      </c>
      <c r="N125" s="18" t="s">
        <v>44</v>
      </c>
      <c r="O125" s="18" t="s">
        <v>100</v>
      </c>
    </row>
    <row r="126">
      <c r="B126" s="18" t="s">
        <v>341</v>
      </c>
      <c r="H126" s="18" t="s">
        <v>45</v>
      </c>
      <c r="I126" s="19">
        <v>46201.0</v>
      </c>
      <c r="J126" s="20">
        <v>0.5013888888888889</v>
      </c>
      <c r="K126" s="19">
        <v>46202.0</v>
      </c>
      <c r="L126" s="20">
        <v>0.5</v>
      </c>
      <c r="M126" s="18">
        <v>1.0</v>
      </c>
      <c r="N126" s="18" t="s">
        <v>44</v>
      </c>
      <c r="O126" s="18" t="s">
        <v>100</v>
      </c>
    </row>
    <row r="127">
      <c r="B127" s="18" t="s">
        <v>342</v>
      </c>
      <c r="H127" s="18" t="s">
        <v>11</v>
      </c>
      <c r="I127" s="19">
        <v>46201.0</v>
      </c>
      <c r="J127" s="20">
        <v>0.5243055555555556</v>
      </c>
      <c r="K127" s="19">
        <v>46202.0</v>
      </c>
      <c r="L127" s="20">
        <v>0.5243055555555556</v>
      </c>
      <c r="M127" s="18">
        <v>2.0</v>
      </c>
      <c r="N127" s="18" t="s">
        <v>44</v>
      </c>
      <c r="O127" s="18" t="s">
        <v>100</v>
      </c>
    </row>
    <row r="128">
      <c r="B128" s="18" t="s">
        <v>343</v>
      </c>
      <c r="H128" s="18" t="s">
        <v>9</v>
      </c>
      <c r="I128" s="19">
        <v>46201.0</v>
      </c>
      <c r="J128" s="20">
        <v>0.5395833333333333</v>
      </c>
      <c r="K128" s="19">
        <v>46202.0</v>
      </c>
      <c r="L128" s="20">
        <v>0.5361111111111111</v>
      </c>
      <c r="M128" s="18">
        <v>0.0</v>
      </c>
      <c r="N128" s="18" t="s">
        <v>44</v>
      </c>
      <c r="O128" s="18" t="s">
        <v>100</v>
      </c>
    </row>
    <row r="129">
      <c r="B129" s="18" t="s">
        <v>344</v>
      </c>
      <c r="H129" s="18" t="s">
        <v>34</v>
      </c>
      <c r="I129" s="19">
        <v>46201.0</v>
      </c>
      <c r="J129" s="20">
        <v>0.5555555555555556</v>
      </c>
      <c r="K129" s="19">
        <v>46203.0</v>
      </c>
      <c r="L129" s="20">
        <v>0.4270833333333333</v>
      </c>
      <c r="M129" s="18">
        <v>1.0</v>
      </c>
      <c r="N129" s="18" t="s">
        <v>44</v>
      </c>
      <c r="O129" s="18" t="s">
        <v>100</v>
      </c>
    </row>
    <row r="130">
      <c r="B130" s="18" t="s">
        <v>345</v>
      </c>
      <c r="H130" s="18" t="s">
        <v>18</v>
      </c>
      <c r="I130" s="19">
        <v>46201.0</v>
      </c>
      <c r="J130" s="20">
        <v>0.5951388888888889</v>
      </c>
      <c r="K130" s="19">
        <v>46202.0</v>
      </c>
      <c r="L130" s="20">
        <v>0.5916666666666667</v>
      </c>
      <c r="M130" s="18">
        <v>6.0</v>
      </c>
      <c r="N130" s="18" t="s">
        <v>44</v>
      </c>
      <c r="O130" s="18" t="s">
        <v>100</v>
      </c>
    </row>
    <row r="131">
      <c r="B131" s="18" t="s">
        <v>346</v>
      </c>
      <c r="H131" s="18" t="s">
        <v>20</v>
      </c>
      <c r="I131" s="19">
        <v>46201.0</v>
      </c>
      <c r="J131" s="20">
        <v>0.6229166666666667</v>
      </c>
      <c r="K131" s="19">
        <v>46202.0</v>
      </c>
      <c r="L131" s="20">
        <v>0.6104166666666667</v>
      </c>
      <c r="M131" s="18">
        <v>5.0</v>
      </c>
      <c r="N131" s="18" t="s">
        <v>44</v>
      </c>
      <c r="O131" s="18" t="s">
        <v>100</v>
      </c>
    </row>
    <row r="132">
      <c r="B132" s="18" t="s">
        <v>347</v>
      </c>
      <c r="H132" s="18" t="s">
        <v>65</v>
      </c>
      <c r="I132" s="19">
        <v>46201.0</v>
      </c>
      <c r="J132" s="20">
        <v>0.6381944444444444</v>
      </c>
      <c r="K132" s="19">
        <v>46202.0</v>
      </c>
      <c r="L132" s="20">
        <v>0.6298611111111111</v>
      </c>
      <c r="M132" s="18">
        <v>3.0</v>
      </c>
      <c r="N132" s="18" t="s">
        <v>44</v>
      </c>
      <c r="O132" s="18" t="s">
        <v>100</v>
      </c>
    </row>
    <row r="133">
      <c r="B133" s="18" t="s">
        <v>348</v>
      </c>
      <c r="H133" s="18" t="s">
        <v>22</v>
      </c>
      <c r="I133" s="19">
        <v>46201.0</v>
      </c>
      <c r="J133" s="20">
        <v>0.6513888888888889</v>
      </c>
      <c r="K133" s="19">
        <v>46202.0</v>
      </c>
      <c r="L133" s="20">
        <v>0.64375</v>
      </c>
      <c r="M133" s="18">
        <v>4.0</v>
      </c>
      <c r="N133" s="18" t="s">
        <v>44</v>
      </c>
      <c r="O133" s="18" t="s">
        <v>100</v>
      </c>
    </row>
    <row r="134">
      <c r="B134" s="18" t="s">
        <v>349</v>
      </c>
      <c r="H134" s="18" t="s">
        <v>24</v>
      </c>
      <c r="I134" s="19">
        <v>46201.0</v>
      </c>
      <c r="J134" s="20">
        <v>0.6680555555555555</v>
      </c>
      <c r="K134" s="19">
        <v>46202.0</v>
      </c>
      <c r="L134" s="20">
        <v>0.6576388888888889</v>
      </c>
      <c r="M134" s="18">
        <v>7.0</v>
      </c>
      <c r="N134" s="18" t="s">
        <v>44</v>
      </c>
      <c r="O134" s="18" t="s">
        <v>100</v>
      </c>
    </row>
    <row r="135">
      <c r="B135" s="18" t="s">
        <v>350</v>
      </c>
      <c r="H135" s="18" t="s">
        <v>26</v>
      </c>
      <c r="I135" s="19">
        <v>46201.0</v>
      </c>
      <c r="J135" s="20">
        <v>0.6909722222222222</v>
      </c>
      <c r="K135" s="19">
        <v>46202.0</v>
      </c>
      <c r="L135" s="20">
        <v>0.6784722222222223</v>
      </c>
      <c r="M135" s="18">
        <v>4.0</v>
      </c>
      <c r="N135" s="18" t="s">
        <v>44</v>
      </c>
      <c r="O135" s="18" t="s">
        <v>100</v>
      </c>
    </row>
    <row r="136">
      <c r="B136" s="18" t="s">
        <v>351</v>
      </c>
      <c r="H136" s="18" t="s">
        <v>29</v>
      </c>
      <c r="I136" s="19">
        <v>46201.0</v>
      </c>
      <c r="J136" s="20">
        <v>0.7</v>
      </c>
      <c r="K136" s="19">
        <v>46202.0</v>
      </c>
      <c r="L136" s="20">
        <v>0.6888888888888889</v>
      </c>
      <c r="M136" s="18">
        <v>1.0</v>
      </c>
      <c r="N136" s="18" t="s">
        <v>44</v>
      </c>
      <c r="O136" s="18" t="s">
        <v>100</v>
      </c>
    </row>
    <row r="137">
      <c r="A137" s="40"/>
      <c r="B137" s="18" t="s">
        <v>352</v>
      </c>
      <c r="G137" s="18" t="s">
        <v>353</v>
      </c>
      <c r="H137" s="18" t="s">
        <v>31</v>
      </c>
      <c r="I137" s="19">
        <v>46201.0</v>
      </c>
      <c r="K137" s="19">
        <v>46203.0</v>
      </c>
      <c r="L137" s="20">
        <v>0.3923611111111111</v>
      </c>
      <c r="M137" s="29">
        <v>3.0</v>
      </c>
      <c r="N137" s="18" t="s">
        <v>43</v>
      </c>
      <c r="O137" s="18" t="s">
        <v>354</v>
      </c>
    </row>
    <row r="138">
      <c r="A138" s="40"/>
      <c r="B138" s="18" t="s">
        <v>355</v>
      </c>
      <c r="G138" s="18" t="s">
        <v>356</v>
      </c>
      <c r="H138" s="18" t="s">
        <v>31</v>
      </c>
      <c r="M138" s="29">
        <v>7.0</v>
      </c>
      <c r="N138" s="18" t="s">
        <v>43</v>
      </c>
      <c r="O138" s="18" t="s">
        <v>294</v>
      </c>
    </row>
    <row r="139">
      <c r="A139" s="40"/>
      <c r="B139" s="18" t="s">
        <v>357</v>
      </c>
      <c r="G139" s="18" t="s">
        <v>358</v>
      </c>
      <c r="H139" s="18" t="s">
        <v>31</v>
      </c>
      <c r="M139" s="29">
        <v>1.0</v>
      </c>
      <c r="N139" s="18" t="s">
        <v>43</v>
      </c>
      <c r="O139" s="18" t="s">
        <v>256</v>
      </c>
      <c r="P139" s="18" t="s">
        <v>359</v>
      </c>
    </row>
    <row r="140">
      <c r="A140" s="40"/>
      <c r="B140" s="18" t="s">
        <v>360</v>
      </c>
      <c r="G140" s="18" t="s">
        <v>361</v>
      </c>
      <c r="H140" s="18" t="s">
        <v>11</v>
      </c>
      <c r="K140" s="19">
        <v>46203.0</v>
      </c>
      <c r="L140" s="20">
        <v>0.4354166666666667</v>
      </c>
      <c r="M140" s="29">
        <v>2.0</v>
      </c>
      <c r="N140" s="18" t="s">
        <v>43</v>
      </c>
      <c r="O140" s="18" t="s">
        <v>294</v>
      </c>
    </row>
    <row r="141">
      <c r="A141" s="40"/>
      <c r="B141" s="18" t="s">
        <v>362</v>
      </c>
      <c r="G141" s="18" t="s">
        <v>363</v>
      </c>
      <c r="H141" s="18" t="s">
        <v>11</v>
      </c>
      <c r="M141" s="29">
        <v>1.0</v>
      </c>
      <c r="N141" s="18" t="s">
        <v>43</v>
      </c>
      <c r="O141" s="18" t="s">
        <v>247</v>
      </c>
    </row>
    <row r="142">
      <c r="A142" s="40"/>
      <c r="B142" s="18" t="s">
        <v>364</v>
      </c>
      <c r="G142" s="18" t="s">
        <v>365</v>
      </c>
      <c r="H142" s="18" t="s">
        <v>11</v>
      </c>
      <c r="M142" s="29">
        <v>1.0</v>
      </c>
      <c r="N142" s="18" t="s">
        <v>43</v>
      </c>
      <c r="O142" s="18" t="s">
        <v>247</v>
      </c>
    </row>
    <row r="143">
      <c r="A143" s="40"/>
      <c r="B143" s="18" t="s">
        <v>366</v>
      </c>
      <c r="G143" s="18" t="s">
        <v>367</v>
      </c>
      <c r="H143" s="18" t="s">
        <v>11</v>
      </c>
      <c r="M143" s="29">
        <v>1.0</v>
      </c>
      <c r="N143" s="18" t="s">
        <v>43</v>
      </c>
      <c r="O143" s="18" t="s">
        <v>354</v>
      </c>
    </row>
    <row r="144">
      <c r="A144" s="40"/>
      <c r="B144" s="18" t="s">
        <v>368</v>
      </c>
      <c r="G144" s="18" t="s">
        <v>369</v>
      </c>
      <c r="H144" s="18" t="s">
        <v>11</v>
      </c>
      <c r="M144" s="29">
        <v>2.0</v>
      </c>
      <c r="N144" s="18" t="s">
        <v>43</v>
      </c>
      <c r="O144" s="18" t="s">
        <v>370</v>
      </c>
    </row>
    <row r="145">
      <c r="A145" s="40"/>
      <c r="B145" s="18" t="s">
        <v>371</v>
      </c>
      <c r="G145" s="18" t="s">
        <v>372</v>
      </c>
      <c r="H145" s="18" t="s">
        <v>149</v>
      </c>
      <c r="K145" s="19">
        <v>46203.0</v>
      </c>
      <c r="L145" s="20">
        <v>0.47638888888888886</v>
      </c>
      <c r="M145" s="29">
        <v>6.0</v>
      </c>
      <c r="N145" s="18" t="s">
        <v>43</v>
      </c>
      <c r="O145" s="18" t="s">
        <v>315</v>
      </c>
    </row>
    <row r="146">
      <c r="A146" s="40"/>
      <c r="B146" s="18" t="s">
        <v>373</v>
      </c>
      <c r="G146" s="18" t="s">
        <v>374</v>
      </c>
      <c r="H146" s="18" t="s">
        <v>149</v>
      </c>
      <c r="M146" s="29">
        <v>2.0</v>
      </c>
      <c r="N146" s="18" t="s">
        <v>43</v>
      </c>
      <c r="O146" s="18" t="s">
        <v>294</v>
      </c>
    </row>
    <row r="147">
      <c r="A147" s="40"/>
      <c r="B147" s="18" t="s">
        <v>375</v>
      </c>
      <c r="G147" s="18" t="s">
        <v>376</v>
      </c>
      <c r="H147" s="18" t="s">
        <v>149</v>
      </c>
      <c r="M147" s="29">
        <v>7.0</v>
      </c>
      <c r="N147" s="18" t="s">
        <v>43</v>
      </c>
      <c r="O147" s="18" t="s">
        <v>201</v>
      </c>
    </row>
    <row r="148">
      <c r="A148" s="40"/>
      <c r="B148" s="18" t="s">
        <v>377</v>
      </c>
      <c r="G148" s="18" t="s">
        <v>378</v>
      </c>
      <c r="H148" s="18" t="s">
        <v>149</v>
      </c>
      <c r="M148" s="29">
        <v>1.0</v>
      </c>
      <c r="N148" s="18" t="s">
        <v>43</v>
      </c>
      <c r="O148" s="18" t="s">
        <v>379</v>
      </c>
      <c r="P148" s="18" t="s">
        <v>380</v>
      </c>
    </row>
    <row r="149">
      <c r="A149" s="40"/>
      <c r="B149" s="18" t="s">
        <v>381</v>
      </c>
      <c r="G149" s="18" t="s">
        <v>382</v>
      </c>
      <c r="H149" s="18" t="s">
        <v>149</v>
      </c>
      <c r="M149" s="29">
        <v>3.0</v>
      </c>
      <c r="N149" s="18" t="s">
        <v>43</v>
      </c>
      <c r="O149" s="18" t="s">
        <v>383</v>
      </c>
    </row>
    <row r="150">
      <c r="A150" s="40"/>
      <c r="B150" s="18" t="s">
        <v>384</v>
      </c>
      <c r="G150" s="18" t="s">
        <v>385</v>
      </c>
      <c r="H150" s="18" t="s">
        <v>31</v>
      </c>
      <c r="K150" s="19">
        <v>46203.0</v>
      </c>
      <c r="L150" s="20">
        <v>0.5590277777777778</v>
      </c>
      <c r="M150" s="29">
        <v>4.0</v>
      </c>
      <c r="N150" s="18" t="s">
        <v>43</v>
      </c>
      <c r="O150" s="18" t="s">
        <v>386</v>
      </c>
    </row>
    <row r="151">
      <c r="A151" s="40"/>
      <c r="B151" s="18" t="s">
        <v>387</v>
      </c>
      <c r="G151" s="18" t="s">
        <v>388</v>
      </c>
      <c r="H151" s="18" t="s">
        <v>31</v>
      </c>
      <c r="M151" s="29">
        <v>2.0</v>
      </c>
      <c r="N151" s="18" t="s">
        <v>43</v>
      </c>
      <c r="O151" s="18" t="s">
        <v>354</v>
      </c>
    </row>
    <row r="152">
      <c r="A152" s="40"/>
      <c r="B152" s="18" t="s">
        <v>389</v>
      </c>
      <c r="G152" s="18" t="s">
        <v>390</v>
      </c>
      <c r="H152" s="18" t="s">
        <v>31</v>
      </c>
      <c r="M152" s="29">
        <v>1.0</v>
      </c>
      <c r="N152" s="18" t="s">
        <v>43</v>
      </c>
      <c r="O152" s="18" t="s">
        <v>391</v>
      </c>
      <c r="P152" s="18" t="s">
        <v>392</v>
      </c>
    </row>
    <row r="153">
      <c r="A153" s="40"/>
      <c r="B153" s="18" t="s">
        <v>393</v>
      </c>
      <c r="G153" s="18" t="s">
        <v>394</v>
      </c>
      <c r="H153" s="18" t="s">
        <v>11</v>
      </c>
      <c r="K153" s="19">
        <v>46203.0</v>
      </c>
      <c r="L153" s="20">
        <v>0.6076388888888888</v>
      </c>
      <c r="M153" s="29">
        <v>1.0</v>
      </c>
      <c r="N153" s="18" t="s">
        <v>43</v>
      </c>
      <c r="O153" s="18" t="s">
        <v>354</v>
      </c>
    </row>
    <row r="154">
      <c r="A154" s="40"/>
      <c r="B154" s="18" t="s">
        <v>395</v>
      </c>
      <c r="G154" s="18" t="s">
        <v>396</v>
      </c>
      <c r="H154" s="18" t="s">
        <v>11</v>
      </c>
      <c r="M154" s="29">
        <v>1.0</v>
      </c>
      <c r="N154" s="18" t="s">
        <v>43</v>
      </c>
      <c r="O154" s="18" t="s">
        <v>386</v>
      </c>
    </row>
    <row r="155">
      <c r="A155" s="40"/>
      <c r="B155" s="18" t="s">
        <v>397</v>
      </c>
      <c r="G155" s="18" t="s">
        <v>398</v>
      </c>
      <c r="H155" s="18" t="s">
        <v>11</v>
      </c>
      <c r="M155" s="29">
        <v>2.0</v>
      </c>
      <c r="N155" s="18" t="s">
        <v>43</v>
      </c>
      <c r="O155" s="18" t="s">
        <v>399</v>
      </c>
    </row>
    <row r="156">
      <c r="A156" s="40"/>
      <c r="B156" s="18" t="s">
        <v>400</v>
      </c>
      <c r="G156" s="18" t="s">
        <v>401</v>
      </c>
      <c r="H156" s="18" t="s">
        <v>149</v>
      </c>
      <c r="K156" s="19">
        <v>46203.0</v>
      </c>
      <c r="L156" s="20">
        <v>0.6770833333333334</v>
      </c>
      <c r="M156" s="29">
        <v>7.0</v>
      </c>
      <c r="N156" s="18" t="s">
        <v>43</v>
      </c>
      <c r="O156" s="18" t="s">
        <v>201</v>
      </c>
    </row>
    <row r="157">
      <c r="A157" s="40"/>
      <c r="B157" s="18" t="s">
        <v>402</v>
      </c>
      <c r="G157" s="18" t="s">
        <v>403</v>
      </c>
      <c r="H157" s="18" t="s">
        <v>7</v>
      </c>
      <c r="M157" s="29">
        <v>3.0</v>
      </c>
      <c r="N157" s="18" t="s">
        <v>43</v>
      </c>
      <c r="O157" s="18" t="s">
        <v>315</v>
      </c>
    </row>
    <row r="158">
      <c r="A158" s="40"/>
      <c r="B158" s="18" t="s">
        <v>404</v>
      </c>
      <c r="G158" s="18" t="s">
        <v>405</v>
      </c>
      <c r="H158" s="18" t="s">
        <v>7</v>
      </c>
      <c r="M158" s="29">
        <v>2.0</v>
      </c>
      <c r="N158" s="18" t="s">
        <v>43</v>
      </c>
      <c r="O158" s="18" t="s">
        <v>406</v>
      </c>
    </row>
    <row r="159">
      <c r="A159" s="40"/>
      <c r="B159" s="18" t="s">
        <v>407</v>
      </c>
      <c r="G159" s="18" t="s">
        <v>408</v>
      </c>
      <c r="H159" s="18" t="s">
        <v>7</v>
      </c>
      <c r="M159" s="29">
        <v>1.0</v>
      </c>
      <c r="N159" s="18" t="s">
        <v>43</v>
      </c>
      <c r="O159" s="18" t="s">
        <v>236</v>
      </c>
    </row>
    <row r="160">
      <c r="A160" s="40"/>
      <c r="G160" s="18" t="s">
        <v>409</v>
      </c>
      <c r="M160" s="29">
        <v>4.0</v>
      </c>
      <c r="N160" s="18" t="s">
        <v>43</v>
      </c>
      <c r="O160" s="18" t="s">
        <v>410</v>
      </c>
      <c r="P160" s="18" t="s">
        <v>411</v>
      </c>
    </row>
    <row r="161">
      <c r="A161" s="40"/>
      <c r="B161" s="18" t="s">
        <v>412</v>
      </c>
      <c r="G161" s="18" t="s">
        <v>413</v>
      </c>
      <c r="H161" s="18" t="s">
        <v>9</v>
      </c>
      <c r="K161" s="19">
        <v>46211.0</v>
      </c>
      <c r="L161" s="20">
        <v>0.35833333333333334</v>
      </c>
      <c r="M161" s="29">
        <v>1.0</v>
      </c>
      <c r="N161" s="18" t="s">
        <v>43</v>
      </c>
      <c r="O161" s="18" t="s">
        <v>414</v>
      </c>
    </row>
    <row r="162">
      <c r="A162" s="28" t="s">
        <v>325</v>
      </c>
      <c r="B162" s="18" t="s">
        <v>415</v>
      </c>
      <c r="G162" s="18" t="s">
        <v>416</v>
      </c>
      <c r="H162" s="18" t="s">
        <v>14</v>
      </c>
      <c r="L162" s="20">
        <v>0.4215277777777778</v>
      </c>
      <c r="M162" s="29">
        <v>1.0</v>
      </c>
      <c r="N162" s="18" t="s">
        <v>43</v>
      </c>
      <c r="O162" s="18" t="s">
        <v>417</v>
      </c>
    </row>
    <row r="163">
      <c r="A163" s="40"/>
      <c r="B163" s="18" t="s">
        <v>418</v>
      </c>
      <c r="H163" s="18" t="s">
        <v>14</v>
      </c>
      <c r="M163" s="29">
        <v>1.0</v>
      </c>
      <c r="N163" s="18" t="s">
        <v>43</v>
      </c>
      <c r="O163" s="18" t="s">
        <v>417</v>
      </c>
    </row>
    <row r="164">
      <c r="A164" s="40"/>
      <c r="B164" s="18" t="s">
        <v>419</v>
      </c>
      <c r="G164" s="18" t="s">
        <v>420</v>
      </c>
      <c r="H164" s="18" t="s">
        <v>14</v>
      </c>
      <c r="M164" s="29">
        <v>1.0</v>
      </c>
      <c r="N164" s="18" t="s">
        <v>43</v>
      </c>
      <c r="O164" s="18" t="s">
        <v>274</v>
      </c>
    </row>
    <row r="165">
      <c r="A165" s="40"/>
      <c r="B165" s="18" t="s">
        <v>421</v>
      </c>
      <c r="G165" s="18" t="s">
        <v>422</v>
      </c>
      <c r="H165" s="18" t="s">
        <v>14</v>
      </c>
      <c r="M165" s="29">
        <v>2.0</v>
      </c>
      <c r="N165" s="18" t="s">
        <v>43</v>
      </c>
      <c r="O165" s="18" t="s">
        <v>423</v>
      </c>
    </row>
    <row r="166">
      <c r="A166" s="40"/>
      <c r="B166" s="18" t="s">
        <v>424</v>
      </c>
      <c r="G166" s="18" t="s">
        <v>425</v>
      </c>
      <c r="H166" s="18" t="s">
        <v>14</v>
      </c>
      <c r="M166" s="29">
        <v>3.0</v>
      </c>
      <c r="N166" s="18" t="s">
        <v>43</v>
      </c>
      <c r="O166" s="18" t="s">
        <v>354</v>
      </c>
    </row>
    <row r="167">
      <c r="A167" s="40"/>
      <c r="B167" s="18" t="s">
        <v>426</v>
      </c>
      <c r="G167" s="18" t="s">
        <v>427</v>
      </c>
      <c r="H167" s="18" t="s">
        <v>14</v>
      </c>
      <c r="M167" s="29">
        <v>1.0</v>
      </c>
      <c r="N167" s="18" t="s">
        <v>43</v>
      </c>
      <c r="O167" s="18" t="s">
        <v>225</v>
      </c>
    </row>
    <row r="168">
      <c r="A168" s="40"/>
      <c r="B168" s="18" t="s">
        <v>428</v>
      </c>
      <c r="G168" s="18" t="s">
        <v>429</v>
      </c>
      <c r="H168" s="18" t="s">
        <v>14</v>
      </c>
      <c r="M168" s="29">
        <v>1.0</v>
      </c>
      <c r="N168" s="18" t="s">
        <v>43</v>
      </c>
      <c r="O168" s="18" t="s">
        <v>430</v>
      </c>
    </row>
    <row r="169">
      <c r="A169" s="40"/>
      <c r="B169" s="18" t="s">
        <v>431</v>
      </c>
      <c r="G169" s="18" t="s">
        <v>432</v>
      </c>
      <c r="H169" s="18" t="s">
        <v>14</v>
      </c>
      <c r="M169" s="29">
        <v>4.0</v>
      </c>
      <c r="N169" s="18" t="s">
        <v>43</v>
      </c>
      <c r="O169" s="18" t="s">
        <v>225</v>
      </c>
    </row>
    <row r="170">
      <c r="A170" s="40"/>
      <c r="B170" s="18" t="s">
        <v>433</v>
      </c>
      <c r="G170" s="18" t="s">
        <v>434</v>
      </c>
      <c r="H170" s="18" t="s">
        <v>16</v>
      </c>
      <c r="M170" s="29">
        <v>1.0</v>
      </c>
      <c r="N170" s="18" t="s">
        <v>43</v>
      </c>
      <c r="O170" s="18" t="s">
        <v>435</v>
      </c>
    </row>
    <row r="171">
      <c r="A171" s="40"/>
      <c r="B171" s="18" t="s">
        <v>436</v>
      </c>
      <c r="G171" s="18" t="s">
        <v>437</v>
      </c>
      <c r="H171" s="18" t="s">
        <v>16</v>
      </c>
      <c r="M171" s="29">
        <v>1.0</v>
      </c>
      <c r="N171" s="18" t="s">
        <v>43</v>
      </c>
      <c r="O171" s="18" t="s">
        <v>201</v>
      </c>
    </row>
    <row r="172">
      <c r="A172" s="40"/>
      <c r="B172" s="18" t="s">
        <v>438</v>
      </c>
      <c r="G172" s="18" t="s">
        <v>439</v>
      </c>
      <c r="H172" s="18" t="s">
        <v>45</v>
      </c>
      <c r="L172" s="20">
        <v>0.5131944444444444</v>
      </c>
      <c r="M172" s="29">
        <v>1.0</v>
      </c>
      <c r="N172" s="18" t="s">
        <v>43</v>
      </c>
      <c r="O172" s="18" t="s">
        <v>225</v>
      </c>
    </row>
    <row r="173">
      <c r="A173" s="40"/>
      <c r="B173" s="18" t="s">
        <v>440</v>
      </c>
      <c r="G173" s="18" t="s">
        <v>441</v>
      </c>
      <c r="H173" s="18" t="s">
        <v>14</v>
      </c>
      <c r="L173" s="20">
        <v>0.5729166666666666</v>
      </c>
      <c r="M173" s="29">
        <v>2.0</v>
      </c>
      <c r="N173" s="18" t="s">
        <v>43</v>
      </c>
      <c r="O173" s="18" t="s">
        <v>417</v>
      </c>
    </row>
    <row r="174">
      <c r="A174" s="40"/>
      <c r="B174" s="18" t="s">
        <v>442</v>
      </c>
      <c r="G174" s="18" t="s">
        <v>443</v>
      </c>
      <c r="H174" s="18" t="s">
        <v>14</v>
      </c>
      <c r="M174" s="29">
        <v>1.0</v>
      </c>
      <c r="N174" s="18" t="s">
        <v>43</v>
      </c>
      <c r="O174" s="18" t="s">
        <v>444</v>
      </c>
    </row>
    <row r="175">
      <c r="A175" s="40"/>
      <c r="B175" s="18" t="s">
        <v>445</v>
      </c>
      <c r="G175" s="18" t="s">
        <v>446</v>
      </c>
      <c r="H175" s="18" t="s">
        <v>14</v>
      </c>
      <c r="M175" s="29">
        <v>1.0</v>
      </c>
      <c r="N175" s="18" t="s">
        <v>43</v>
      </c>
      <c r="O175" s="18" t="s">
        <v>447</v>
      </c>
    </row>
    <row r="176">
      <c r="A176" s="40"/>
      <c r="B176" s="18" t="s">
        <v>448</v>
      </c>
      <c r="G176" s="18" t="s">
        <v>449</v>
      </c>
      <c r="H176" s="18" t="s">
        <v>14</v>
      </c>
      <c r="M176" s="29">
        <v>5.0</v>
      </c>
      <c r="N176" s="18" t="s">
        <v>43</v>
      </c>
      <c r="O176" s="18" t="s">
        <v>354</v>
      </c>
    </row>
    <row r="177">
      <c r="A177" s="40"/>
      <c r="B177" s="18" t="s">
        <v>450</v>
      </c>
      <c r="G177" s="18" t="s">
        <v>451</v>
      </c>
      <c r="H177" s="18" t="s">
        <v>14</v>
      </c>
      <c r="M177" s="29">
        <v>2.0</v>
      </c>
      <c r="N177" s="18" t="s">
        <v>43</v>
      </c>
      <c r="O177" s="18" t="s">
        <v>354</v>
      </c>
    </row>
    <row r="178">
      <c r="A178" s="40"/>
      <c r="B178" s="18" t="s">
        <v>452</v>
      </c>
      <c r="G178" s="18" t="s">
        <v>453</v>
      </c>
      <c r="H178" s="18" t="s">
        <v>14</v>
      </c>
      <c r="M178" s="29">
        <v>3.0</v>
      </c>
      <c r="N178" s="18" t="s">
        <v>43</v>
      </c>
      <c r="O178" s="18" t="s">
        <v>454</v>
      </c>
    </row>
    <row r="179">
      <c r="A179" s="40"/>
      <c r="B179" s="18" t="s">
        <v>455</v>
      </c>
      <c r="G179" s="18" t="s">
        <v>456</v>
      </c>
      <c r="H179" s="18" t="s">
        <v>9</v>
      </c>
      <c r="L179" s="20">
        <v>0.6423611111111112</v>
      </c>
      <c r="M179" s="29">
        <v>3.0</v>
      </c>
      <c r="N179" s="18" t="s">
        <v>43</v>
      </c>
      <c r="O179" s="18" t="s">
        <v>414</v>
      </c>
    </row>
    <row r="180">
      <c r="A180" s="40"/>
      <c r="B180" s="18" t="s">
        <v>457</v>
      </c>
      <c r="G180" s="18" t="s">
        <v>458</v>
      </c>
      <c r="H180" s="18" t="s">
        <v>9</v>
      </c>
      <c r="M180" s="29">
        <v>3.0</v>
      </c>
      <c r="N180" s="18" t="s">
        <v>43</v>
      </c>
      <c r="O180" s="18" t="s">
        <v>414</v>
      </c>
    </row>
    <row r="181">
      <c r="A181" s="40"/>
      <c r="B181" s="18" t="s">
        <v>459</v>
      </c>
      <c r="G181" s="18" t="s">
        <v>460</v>
      </c>
      <c r="H181" s="18" t="s">
        <v>18</v>
      </c>
      <c r="K181" s="19">
        <v>46212.0</v>
      </c>
      <c r="L181" s="20">
        <v>0.4305555555555556</v>
      </c>
      <c r="M181" s="29">
        <v>5.0</v>
      </c>
      <c r="N181" s="18" t="s">
        <v>43</v>
      </c>
      <c r="O181" s="18" t="s">
        <v>461</v>
      </c>
    </row>
    <row r="182">
      <c r="A182" s="40"/>
      <c r="B182" s="18" t="s">
        <v>462</v>
      </c>
      <c r="G182" s="18" t="s">
        <v>463</v>
      </c>
      <c r="H182" s="18" t="s">
        <v>18</v>
      </c>
      <c r="K182" s="19">
        <v>46212.0</v>
      </c>
      <c r="M182" s="29">
        <v>1.0</v>
      </c>
      <c r="N182" s="18" t="s">
        <v>43</v>
      </c>
      <c r="O182" s="18" t="s">
        <v>464</v>
      </c>
    </row>
    <row r="183">
      <c r="A183" s="40"/>
      <c r="B183" s="18" t="s">
        <v>465</v>
      </c>
      <c r="G183" s="18" t="s">
        <v>466</v>
      </c>
      <c r="H183" s="18" t="s">
        <v>18</v>
      </c>
      <c r="K183" s="19">
        <v>46212.0</v>
      </c>
      <c r="M183" s="29">
        <v>5.0</v>
      </c>
      <c r="N183" s="18" t="s">
        <v>43</v>
      </c>
      <c r="O183" s="18" t="s">
        <v>461</v>
      </c>
    </row>
    <row r="184">
      <c r="A184" s="40"/>
      <c r="B184" s="18" t="s">
        <v>467</v>
      </c>
      <c r="G184" s="18" t="s">
        <v>468</v>
      </c>
      <c r="H184" s="18" t="s">
        <v>18</v>
      </c>
      <c r="K184" s="19">
        <v>46212.0</v>
      </c>
      <c r="M184" s="29">
        <v>2.0</v>
      </c>
      <c r="N184" s="18" t="s">
        <v>43</v>
      </c>
      <c r="O184" s="18" t="s">
        <v>469</v>
      </c>
    </row>
    <row r="185">
      <c r="A185" s="40"/>
      <c r="B185" s="18" t="s">
        <v>470</v>
      </c>
      <c r="G185" s="18" t="s">
        <v>471</v>
      </c>
      <c r="H185" s="18" t="s">
        <v>18</v>
      </c>
      <c r="K185" s="19">
        <v>46212.0</v>
      </c>
      <c r="M185" s="29">
        <v>2.0</v>
      </c>
      <c r="N185" s="18" t="s">
        <v>43</v>
      </c>
      <c r="O185" s="18" t="s">
        <v>461</v>
      </c>
    </row>
    <row r="186">
      <c r="A186" s="40"/>
      <c r="B186" s="18" t="s">
        <v>472</v>
      </c>
      <c r="G186" s="18" t="s">
        <v>473</v>
      </c>
      <c r="H186" s="18" t="s">
        <v>18</v>
      </c>
      <c r="K186" s="19">
        <v>46212.0</v>
      </c>
      <c r="M186" s="29">
        <v>1.0</v>
      </c>
      <c r="N186" s="18" t="s">
        <v>43</v>
      </c>
      <c r="O186" s="18" t="s">
        <v>469</v>
      </c>
    </row>
    <row r="187">
      <c r="A187" s="40"/>
      <c r="B187" s="18" t="s">
        <v>474</v>
      </c>
      <c r="G187" s="18" t="s">
        <v>475</v>
      </c>
      <c r="H187" s="18" t="s">
        <v>18</v>
      </c>
      <c r="K187" s="19">
        <v>46212.0</v>
      </c>
      <c r="M187" s="29">
        <v>3.0</v>
      </c>
      <c r="N187" s="18" t="s">
        <v>43</v>
      </c>
      <c r="O187" s="18" t="s">
        <v>454</v>
      </c>
    </row>
    <row r="188">
      <c r="A188" s="40"/>
      <c r="B188" s="18" t="s">
        <v>476</v>
      </c>
      <c r="G188" s="18" t="s">
        <v>477</v>
      </c>
      <c r="H188" s="18" t="s">
        <v>18</v>
      </c>
      <c r="K188" s="19">
        <v>46212.0</v>
      </c>
      <c r="L188" s="20">
        <v>0.5680555555555555</v>
      </c>
      <c r="M188" s="29">
        <v>2.0</v>
      </c>
      <c r="N188" s="18" t="s">
        <v>43</v>
      </c>
      <c r="O188" s="18" t="s">
        <v>461</v>
      </c>
    </row>
    <row r="189">
      <c r="A189" s="40"/>
      <c r="B189" s="18" t="s">
        <v>478</v>
      </c>
      <c r="G189" s="18" t="s">
        <v>479</v>
      </c>
      <c r="H189" s="18" t="s">
        <v>18</v>
      </c>
      <c r="K189" s="19">
        <v>46212.0</v>
      </c>
      <c r="M189" s="29">
        <v>1.0</v>
      </c>
      <c r="N189" s="18" t="s">
        <v>43</v>
      </c>
      <c r="O189" s="18" t="s">
        <v>461</v>
      </c>
    </row>
    <row r="190">
      <c r="A190" s="40"/>
      <c r="B190" s="18" t="s">
        <v>480</v>
      </c>
      <c r="G190" s="18" t="s">
        <v>481</v>
      </c>
      <c r="H190" s="18" t="s">
        <v>18</v>
      </c>
      <c r="K190" s="19">
        <v>46212.0</v>
      </c>
      <c r="M190" s="29">
        <v>2.0</v>
      </c>
      <c r="N190" s="18" t="s">
        <v>43</v>
      </c>
      <c r="O190" s="18" t="s">
        <v>469</v>
      </c>
    </row>
    <row r="191">
      <c r="A191" s="40"/>
      <c r="B191" s="18" t="s">
        <v>482</v>
      </c>
      <c r="G191" s="18" t="s">
        <v>483</v>
      </c>
      <c r="H191" s="18" t="s">
        <v>28</v>
      </c>
      <c r="K191" s="19">
        <v>46213.0</v>
      </c>
      <c r="L191" s="20">
        <v>0.34930555555555554</v>
      </c>
      <c r="M191" s="29">
        <v>2.0</v>
      </c>
      <c r="N191" s="18" t="s">
        <v>43</v>
      </c>
      <c r="O191" s="18" t="s">
        <v>484</v>
      </c>
    </row>
    <row r="192">
      <c r="A192" s="40"/>
      <c r="B192" s="18" t="s">
        <v>485</v>
      </c>
      <c r="G192" s="18" t="s">
        <v>486</v>
      </c>
      <c r="H192" s="18" t="s">
        <v>28</v>
      </c>
      <c r="M192" s="29">
        <v>1.0</v>
      </c>
      <c r="N192" s="18" t="s">
        <v>43</v>
      </c>
      <c r="O192" s="18" t="s">
        <v>484</v>
      </c>
    </row>
    <row r="193">
      <c r="A193" s="40"/>
      <c r="B193" s="18" t="s">
        <v>487</v>
      </c>
      <c r="G193" s="18" t="s">
        <v>488</v>
      </c>
      <c r="H193" s="18" t="s">
        <v>28</v>
      </c>
      <c r="M193" s="29">
        <v>1.0</v>
      </c>
      <c r="N193" s="18" t="s">
        <v>43</v>
      </c>
      <c r="O193" s="18" t="s">
        <v>312</v>
      </c>
    </row>
    <row r="194">
      <c r="A194" s="40"/>
      <c r="B194" s="18" t="s">
        <v>489</v>
      </c>
      <c r="G194" s="18" t="s">
        <v>490</v>
      </c>
      <c r="H194" s="18" t="s">
        <v>28</v>
      </c>
      <c r="M194" s="29">
        <v>1.0</v>
      </c>
      <c r="N194" s="18" t="s">
        <v>43</v>
      </c>
      <c r="O194" s="18" t="s">
        <v>208</v>
      </c>
    </row>
    <row r="195">
      <c r="A195" s="40"/>
      <c r="B195" s="18" t="s">
        <v>491</v>
      </c>
      <c r="G195" s="18" t="s">
        <v>492</v>
      </c>
      <c r="H195" s="18" t="s">
        <v>28</v>
      </c>
      <c r="M195" s="29">
        <v>4.0</v>
      </c>
      <c r="N195" s="18" t="s">
        <v>43</v>
      </c>
      <c r="O195" s="18" t="s">
        <v>493</v>
      </c>
    </row>
    <row r="196">
      <c r="A196" s="40"/>
      <c r="B196" s="18" t="s">
        <v>494</v>
      </c>
      <c r="G196" s="18" t="s">
        <v>495</v>
      </c>
      <c r="H196" s="18" t="s">
        <v>28</v>
      </c>
      <c r="M196" s="29">
        <v>2.0</v>
      </c>
      <c r="N196" s="18" t="s">
        <v>43</v>
      </c>
      <c r="O196" s="18" t="s">
        <v>493</v>
      </c>
    </row>
    <row r="197">
      <c r="A197" s="28" t="s">
        <v>325</v>
      </c>
      <c r="B197" s="18" t="s">
        <v>496</v>
      </c>
      <c r="G197" s="18" t="s">
        <v>497</v>
      </c>
      <c r="H197" s="18" t="s">
        <v>28</v>
      </c>
      <c r="K197" s="19">
        <v>46213.0</v>
      </c>
      <c r="L197" s="20">
        <v>0.5208333333333334</v>
      </c>
      <c r="M197" s="29">
        <v>1.0</v>
      </c>
      <c r="O197" s="18" t="s">
        <v>498</v>
      </c>
    </row>
    <row r="198">
      <c r="A198" s="40"/>
      <c r="B198" s="18" t="s">
        <v>499</v>
      </c>
      <c r="G198" s="18" t="s">
        <v>500</v>
      </c>
      <c r="H198" s="18" t="s">
        <v>28</v>
      </c>
      <c r="M198" s="29">
        <v>1.0</v>
      </c>
      <c r="O198" s="18" t="s">
        <v>484</v>
      </c>
    </row>
    <row r="199">
      <c r="A199" s="40"/>
      <c r="B199" s="18" t="s">
        <v>501</v>
      </c>
      <c r="G199" s="18" t="s">
        <v>502</v>
      </c>
      <c r="H199" s="18" t="s">
        <v>28</v>
      </c>
      <c r="M199" s="29">
        <v>1.0</v>
      </c>
      <c r="O199" s="18" t="s">
        <v>312</v>
      </c>
    </row>
    <row r="200">
      <c r="A200" s="40"/>
      <c r="B200" s="18" t="s">
        <v>503</v>
      </c>
      <c r="G200" s="18" t="s">
        <v>504</v>
      </c>
      <c r="H200" s="18" t="s">
        <v>28</v>
      </c>
      <c r="M200" s="29">
        <v>1.0</v>
      </c>
      <c r="O200" s="18" t="s">
        <v>498</v>
      </c>
    </row>
    <row r="201">
      <c r="A201" s="40"/>
      <c r="B201" s="18" t="s">
        <v>505</v>
      </c>
      <c r="G201" s="18" t="s">
        <v>506</v>
      </c>
      <c r="H201" s="18" t="s">
        <v>28</v>
      </c>
      <c r="M201" s="29">
        <v>1.0</v>
      </c>
      <c r="O201" s="18" t="s">
        <v>493</v>
      </c>
    </row>
    <row r="202">
      <c r="A202" s="40"/>
      <c r="B202" s="18" t="s">
        <v>507</v>
      </c>
      <c r="G202" s="18" t="s">
        <v>508</v>
      </c>
      <c r="H202" s="18" t="s">
        <v>28</v>
      </c>
      <c r="M202" s="29">
        <v>1.0</v>
      </c>
      <c r="O202" s="18" t="s">
        <v>484</v>
      </c>
    </row>
    <row r="203">
      <c r="A203" s="40"/>
      <c r="M203" s="41"/>
    </row>
    <row r="204">
      <c r="A204" s="40"/>
      <c r="M204" s="41"/>
    </row>
    <row r="205">
      <c r="A205" s="40"/>
      <c r="M205" s="41"/>
    </row>
    <row r="206">
      <c r="A206" s="40"/>
      <c r="M206" s="41"/>
    </row>
    <row r="207">
      <c r="A207" s="40"/>
      <c r="M207" s="41"/>
    </row>
    <row r="208">
      <c r="A208" s="40"/>
      <c r="M208" s="41"/>
    </row>
    <row r="209">
      <c r="A209" s="40"/>
      <c r="M209" s="41"/>
    </row>
    <row r="210">
      <c r="A210" s="40"/>
      <c r="M210" s="41"/>
    </row>
    <row r="211">
      <c r="A211" s="40"/>
      <c r="M211" s="41"/>
    </row>
    <row r="212">
      <c r="A212" s="40"/>
      <c r="M212" s="41"/>
    </row>
    <row r="213">
      <c r="A213" s="40"/>
      <c r="M213" s="41"/>
    </row>
    <row r="214">
      <c r="A214" s="40"/>
      <c r="M214" s="41"/>
    </row>
    <row r="215">
      <c r="A215" s="40"/>
      <c r="M215" s="41"/>
    </row>
    <row r="216">
      <c r="A216" s="40"/>
      <c r="M216" s="41"/>
    </row>
    <row r="217">
      <c r="A217" s="40"/>
      <c r="M217" s="41"/>
    </row>
    <row r="218">
      <c r="A218" s="40"/>
      <c r="M218" s="41"/>
    </row>
    <row r="219">
      <c r="A219" s="40"/>
      <c r="M219" s="41"/>
    </row>
    <row r="220">
      <c r="A220" s="40"/>
      <c r="M220" s="41"/>
    </row>
    <row r="221">
      <c r="A221" s="40"/>
      <c r="M221" s="41"/>
    </row>
    <row r="222">
      <c r="A222" s="40"/>
      <c r="M222" s="41"/>
    </row>
    <row r="223">
      <c r="A223" s="40"/>
      <c r="M223" s="41"/>
    </row>
    <row r="224">
      <c r="A224" s="40"/>
      <c r="M224" s="41"/>
    </row>
    <row r="225">
      <c r="A225" s="40"/>
      <c r="M225" s="41"/>
    </row>
    <row r="226">
      <c r="A226" s="40"/>
      <c r="M226" s="41"/>
    </row>
    <row r="227">
      <c r="A227" s="40"/>
      <c r="M227" s="41"/>
    </row>
    <row r="228">
      <c r="A228" s="40"/>
      <c r="M228" s="41"/>
    </row>
    <row r="229">
      <c r="A229" s="40"/>
      <c r="M229" s="41"/>
    </row>
    <row r="230">
      <c r="A230" s="40"/>
      <c r="M230" s="41"/>
    </row>
    <row r="231">
      <c r="A231" s="40"/>
      <c r="M231" s="41"/>
    </row>
    <row r="232">
      <c r="A232" s="40"/>
      <c r="M232" s="41"/>
    </row>
    <row r="233">
      <c r="A233" s="40"/>
      <c r="M233" s="41"/>
    </row>
    <row r="234">
      <c r="A234" s="40"/>
      <c r="M234" s="41"/>
    </row>
    <row r="235">
      <c r="A235" s="40"/>
      <c r="M235" s="41"/>
    </row>
    <row r="236">
      <c r="A236" s="40"/>
      <c r="M236" s="41"/>
    </row>
    <row r="237">
      <c r="A237" s="40"/>
      <c r="M237" s="41"/>
    </row>
    <row r="238">
      <c r="A238" s="40"/>
      <c r="M238" s="41"/>
    </row>
    <row r="239">
      <c r="A239" s="40"/>
      <c r="M239" s="41"/>
    </row>
    <row r="240">
      <c r="A240" s="40"/>
      <c r="M240" s="41"/>
    </row>
    <row r="241">
      <c r="A241" s="40"/>
      <c r="M241" s="41"/>
    </row>
    <row r="242">
      <c r="A242" s="40"/>
      <c r="M242" s="41"/>
    </row>
    <row r="243">
      <c r="A243" s="40"/>
      <c r="M243" s="41"/>
    </row>
    <row r="244">
      <c r="A244" s="40"/>
      <c r="M244" s="41"/>
    </row>
    <row r="245">
      <c r="A245" s="40"/>
      <c r="M245" s="41"/>
    </row>
    <row r="246">
      <c r="A246" s="40"/>
      <c r="M246" s="41"/>
    </row>
    <row r="247">
      <c r="A247" s="40"/>
      <c r="M247" s="41"/>
    </row>
    <row r="248">
      <c r="A248" s="40"/>
      <c r="M248" s="41"/>
    </row>
    <row r="249">
      <c r="A249" s="40"/>
      <c r="M249" s="41"/>
    </row>
    <row r="250">
      <c r="A250" s="40"/>
      <c r="M250" s="41"/>
    </row>
    <row r="251">
      <c r="A251" s="40"/>
      <c r="M251" s="41"/>
    </row>
    <row r="252">
      <c r="A252" s="40"/>
      <c r="M252" s="41"/>
    </row>
    <row r="253">
      <c r="A253" s="40"/>
      <c r="M253" s="41"/>
    </row>
    <row r="254">
      <c r="A254" s="40"/>
      <c r="M254" s="41"/>
    </row>
    <row r="255">
      <c r="A255" s="40"/>
      <c r="M255" s="41"/>
    </row>
    <row r="256">
      <c r="A256" s="40"/>
      <c r="M256" s="41"/>
    </row>
    <row r="257">
      <c r="A257" s="40"/>
      <c r="M257" s="41"/>
    </row>
    <row r="258">
      <c r="A258" s="40"/>
      <c r="M258" s="41"/>
    </row>
    <row r="259">
      <c r="A259" s="40"/>
      <c r="M259" s="41"/>
    </row>
    <row r="260">
      <c r="A260" s="40"/>
      <c r="M260" s="41"/>
    </row>
    <row r="261">
      <c r="A261" s="40"/>
      <c r="M261" s="41"/>
    </row>
    <row r="262">
      <c r="A262" s="40"/>
      <c r="M262" s="41"/>
    </row>
    <row r="263">
      <c r="A263" s="40"/>
      <c r="M263" s="41"/>
    </row>
    <row r="264">
      <c r="A264" s="40"/>
      <c r="M264" s="41"/>
    </row>
    <row r="265">
      <c r="A265" s="40"/>
      <c r="M265" s="41"/>
    </row>
    <row r="266">
      <c r="A266" s="40"/>
      <c r="M266" s="41"/>
    </row>
    <row r="267">
      <c r="A267" s="40"/>
      <c r="M267" s="41"/>
    </row>
    <row r="268">
      <c r="A268" s="40"/>
      <c r="M268" s="41"/>
    </row>
    <row r="269">
      <c r="A269" s="40"/>
      <c r="M269" s="41"/>
    </row>
    <row r="270">
      <c r="A270" s="40"/>
      <c r="M270" s="41"/>
    </row>
    <row r="271">
      <c r="A271" s="40"/>
      <c r="M271" s="41"/>
    </row>
    <row r="272">
      <c r="A272" s="40"/>
      <c r="M272" s="41"/>
    </row>
    <row r="273">
      <c r="A273" s="40"/>
      <c r="M273" s="41"/>
    </row>
    <row r="274">
      <c r="A274" s="40"/>
      <c r="M274" s="41"/>
    </row>
    <row r="275">
      <c r="A275" s="40"/>
      <c r="M275" s="41"/>
    </row>
    <row r="276">
      <c r="A276" s="40"/>
      <c r="M276" s="41"/>
    </row>
    <row r="277">
      <c r="A277" s="40"/>
      <c r="M277" s="41"/>
    </row>
    <row r="278">
      <c r="A278" s="40"/>
      <c r="M278" s="41"/>
    </row>
    <row r="279">
      <c r="A279" s="40"/>
      <c r="M279" s="41"/>
    </row>
    <row r="280">
      <c r="A280" s="40"/>
      <c r="M280" s="41"/>
    </row>
    <row r="281">
      <c r="A281" s="40"/>
      <c r="M281" s="41"/>
    </row>
    <row r="282">
      <c r="A282" s="40"/>
      <c r="M282" s="41"/>
    </row>
    <row r="283">
      <c r="A283" s="40"/>
      <c r="M283" s="41"/>
    </row>
    <row r="284">
      <c r="A284" s="40"/>
      <c r="M284" s="41"/>
    </row>
    <row r="285">
      <c r="A285" s="40"/>
      <c r="M285" s="41"/>
    </row>
    <row r="286">
      <c r="A286" s="40"/>
      <c r="M286" s="41"/>
    </row>
    <row r="287">
      <c r="A287" s="40"/>
      <c r="M287" s="41"/>
    </row>
    <row r="288">
      <c r="A288" s="40"/>
      <c r="M288" s="41"/>
    </row>
    <row r="289">
      <c r="A289" s="40"/>
      <c r="M289" s="41"/>
    </row>
    <row r="290">
      <c r="A290" s="40"/>
      <c r="M290" s="41"/>
    </row>
    <row r="291">
      <c r="A291" s="40"/>
      <c r="M291" s="41"/>
    </row>
    <row r="292">
      <c r="A292" s="40"/>
      <c r="M292" s="41"/>
    </row>
    <row r="293">
      <c r="A293" s="40"/>
      <c r="M293" s="41"/>
    </row>
    <row r="294">
      <c r="A294" s="40"/>
      <c r="M294" s="41"/>
    </row>
    <row r="295">
      <c r="A295" s="40"/>
      <c r="M295" s="41"/>
    </row>
    <row r="296">
      <c r="A296" s="40"/>
      <c r="M296" s="41"/>
    </row>
    <row r="297">
      <c r="A297" s="40"/>
      <c r="M297" s="41"/>
    </row>
    <row r="298">
      <c r="A298" s="40"/>
      <c r="M298" s="41"/>
    </row>
    <row r="299">
      <c r="A299" s="40"/>
      <c r="M299" s="41"/>
    </row>
    <row r="300">
      <c r="A300" s="40"/>
      <c r="M300" s="41"/>
    </row>
    <row r="301">
      <c r="A301" s="40"/>
      <c r="M301" s="41"/>
    </row>
    <row r="302">
      <c r="A302" s="40"/>
      <c r="M302" s="41"/>
    </row>
    <row r="303">
      <c r="A303" s="40"/>
      <c r="M303" s="41"/>
    </row>
    <row r="304">
      <c r="A304" s="40"/>
      <c r="M304" s="41"/>
    </row>
    <row r="305">
      <c r="A305" s="40"/>
      <c r="M305" s="41"/>
    </row>
    <row r="306">
      <c r="A306" s="40"/>
      <c r="M306" s="41"/>
    </row>
    <row r="307">
      <c r="A307" s="40"/>
      <c r="M307" s="41"/>
    </row>
    <row r="308">
      <c r="A308" s="40"/>
      <c r="M308" s="41"/>
    </row>
    <row r="309">
      <c r="A309" s="40"/>
      <c r="M309" s="41"/>
    </row>
    <row r="310">
      <c r="A310" s="40"/>
      <c r="M310" s="41"/>
    </row>
    <row r="311">
      <c r="A311" s="40"/>
      <c r="M311" s="41"/>
    </row>
    <row r="312">
      <c r="A312" s="40"/>
      <c r="M312" s="41"/>
    </row>
    <row r="313">
      <c r="A313" s="40"/>
      <c r="M313" s="41"/>
    </row>
    <row r="314">
      <c r="A314" s="40"/>
      <c r="M314" s="41"/>
    </row>
    <row r="315">
      <c r="A315" s="40"/>
      <c r="M315" s="41"/>
    </row>
    <row r="316">
      <c r="A316" s="40"/>
      <c r="M316" s="41"/>
    </row>
    <row r="317">
      <c r="A317" s="40"/>
      <c r="M317" s="41"/>
    </row>
    <row r="318">
      <c r="A318" s="40"/>
      <c r="M318" s="41"/>
    </row>
    <row r="319">
      <c r="A319" s="40"/>
      <c r="M319" s="41"/>
    </row>
    <row r="320">
      <c r="A320" s="40"/>
      <c r="M320" s="41"/>
    </row>
    <row r="321">
      <c r="A321" s="40"/>
      <c r="M321" s="41"/>
    </row>
    <row r="322">
      <c r="A322" s="40"/>
      <c r="M322" s="41"/>
    </row>
    <row r="323">
      <c r="A323" s="40"/>
      <c r="M323" s="41"/>
    </row>
    <row r="324">
      <c r="A324" s="40"/>
      <c r="M324" s="41"/>
    </row>
    <row r="325">
      <c r="A325" s="40"/>
      <c r="M325" s="41"/>
    </row>
    <row r="326">
      <c r="A326" s="40"/>
      <c r="M326" s="41"/>
    </row>
    <row r="327">
      <c r="A327" s="40"/>
      <c r="M327" s="41"/>
    </row>
    <row r="328">
      <c r="A328" s="40"/>
      <c r="M328" s="41"/>
    </row>
    <row r="329">
      <c r="A329" s="40"/>
      <c r="M329" s="41"/>
    </row>
    <row r="330">
      <c r="A330" s="40"/>
      <c r="M330" s="41"/>
    </row>
    <row r="331">
      <c r="A331" s="40"/>
      <c r="M331" s="41"/>
    </row>
    <row r="332">
      <c r="A332" s="40"/>
      <c r="M332" s="41"/>
    </row>
    <row r="333">
      <c r="A333" s="40"/>
      <c r="M333" s="41"/>
    </row>
    <row r="334">
      <c r="A334" s="40"/>
      <c r="M334" s="41"/>
    </row>
    <row r="335">
      <c r="A335" s="40"/>
      <c r="M335" s="41"/>
    </row>
    <row r="336">
      <c r="A336" s="40"/>
      <c r="M336" s="41"/>
    </row>
    <row r="337">
      <c r="A337" s="40"/>
      <c r="M337" s="41"/>
    </row>
    <row r="338">
      <c r="A338" s="40"/>
      <c r="M338" s="41"/>
    </row>
    <row r="339">
      <c r="A339" s="40"/>
      <c r="M339" s="41"/>
    </row>
    <row r="340">
      <c r="A340" s="40"/>
      <c r="M340" s="41"/>
    </row>
    <row r="341">
      <c r="A341" s="40"/>
      <c r="M341" s="41"/>
    </row>
    <row r="342">
      <c r="A342" s="40"/>
      <c r="M342" s="41"/>
    </row>
    <row r="343">
      <c r="A343" s="40"/>
      <c r="M343" s="41"/>
    </row>
    <row r="344">
      <c r="A344" s="40"/>
      <c r="M344" s="41"/>
    </row>
    <row r="345">
      <c r="A345" s="40"/>
      <c r="M345" s="41"/>
    </row>
    <row r="346">
      <c r="A346" s="40"/>
      <c r="M346" s="41"/>
    </row>
    <row r="347">
      <c r="A347" s="40"/>
      <c r="M347" s="41"/>
    </row>
    <row r="348">
      <c r="A348" s="40"/>
      <c r="M348" s="41"/>
    </row>
    <row r="349">
      <c r="A349" s="40"/>
      <c r="M349" s="41"/>
    </row>
    <row r="350">
      <c r="A350" s="40"/>
      <c r="M350" s="41"/>
    </row>
    <row r="351">
      <c r="A351" s="40"/>
      <c r="M351" s="41"/>
    </row>
    <row r="352">
      <c r="A352" s="40"/>
      <c r="M352" s="41"/>
    </row>
    <row r="353">
      <c r="A353" s="40"/>
      <c r="M353" s="41"/>
    </row>
    <row r="354">
      <c r="A354" s="40"/>
      <c r="M354" s="41"/>
    </row>
    <row r="355">
      <c r="A355" s="40"/>
      <c r="M355" s="41"/>
    </row>
    <row r="356">
      <c r="A356" s="40"/>
      <c r="M356" s="41"/>
    </row>
    <row r="357">
      <c r="A357" s="40"/>
      <c r="M357" s="41"/>
    </row>
    <row r="358">
      <c r="A358" s="40"/>
      <c r="M358" s="41"/>
    </row>
    <row r="359">
      <c r="A359" s="40"/>
      <c r="M359" s="41"/>
    </row>
    <row r="360">
      <c r="A360" s="40"/>
      <c r="M360" s="41"/>
    </row>
    <row r="361">
      <c r="A361" s="40"/>
      <c r="M361" s="41"/>
    </row>
    <row r="362">
      <c r="A362" s="40"/>
      <c r="M362" s="41"/>
    </row>
    <row r="363">
      <c r="A363" s="40"/>
      <c r="M363" s="41"/>
    </row>
    <row r="364">
      <c r="A364" s="40"/>
      <c r="M364" s="41"/>
    </row>
    <row r="365">
      <c r="A365" s="40"/>
      <c r="M365" s="41"/>
    </row>
    <row r="366">
      <c r="A366" s="40"/>
      <c r="M366" s="41"/>
    </row>
    <row r="367">
      <c r="A367" s="40"/>
      <c r="M367" s="41"/>
    </row>
    <row r="368">
      <c r="A368" s="40"/>
      <c r="M368" s="41"/>
    </row>
    <row r="369">
      <c r="A369" s="40"/>
      <c r="M369" s="41"/>
    </row>
    <row r="370">
      <c r="A370" s="40"/>
      <c r="M370" s="41"/>
    </row>
    <row r="371">
      <c r="A371" s="40"/>
      <c r="M371" s="41"/>
    </row>
    <row r="372">
      <c r="A372" s="40"/>
      <c r="M372" s="41"/>
    </row>
    <row r="373">
      <c r="A373" s="40"/>
      <c r="M373" s="41"/>
    </row>
    <row r="374">
      <c r="A374" s="40"/>
      <c r="M374" s="41"/>
    </row>
    <row r="375">
      <c r="A375" s="40"/>
      <c r="M375" s="41"/>
    </row>
    <row r="376">
      <c r="A376" s="40"/>
      <c r="M376" s="41"/>
    </row>
    <row r="377">
      <c r="A377" s="40"/>
      <c r="M377" s="41"/>
    </row>
    <row r="378">
      <c r="A378" s="40"/>
      <c r="M378" s="41"/>
    </row>
    <row r="379">
      <c r="A379" s="40"/>
      <c r="M379" s="41"/>
    </row>
    <row r="380">
      <c r="A380" s="40"/>
      <c r="M380" s="41"/>
    </row>
    <row r="381">
      <c r="A381" s="40"/>
      <c r="M381" s="41"/>
    </row>
    <row r="382">
      <c r="A382" s="40"/>
      <c r="M382" s="41"/>
    </row>
    <row r="383">
      <c r="A383" s="40"/>
      <c r="M383" s="41"/>
    </row>
    <row r="384">
      <c r="A384" s="40"/>
      <c r="M384" s="41"/>
    </row>
    <row r="385">
      <c r="A385" s="40"/>
      <c r="M385" s="41"/>
    </row>
    <row r="386">
      <c r="A386" s="40"/>
      <c r="M386" s="41"/>
    </row>
    <row r="387">
      <c r="A387" s="40"/>
      <c r="M387" s="41"/>
    </row>
    <row r="388">
      <c r="A388" s="40"/>
      <c r="M388" s="41"/>
    </row>
    <row r="389">
      <c r="A389" s="40"/>
      <c r="M389" s="41"/>
    </row>
    <row r="390">
      <c r="A390" s="40"/>
      <c r="M390" s="41"/>
    </row>
    <row r="391">
      <c r="A391" s="40"/>
      <c r="M391" s="41"/>
    </row>
    <row r="392">
      <c r="A392" s="40"/>
      <c r="M392" s="41"/>
    </row>
    <row r="393">
      <c r="A393" s="40"/>
      <c r="M393" s="41"/>
    </row>
    <row r="394">
      <c r="A394" s="40"/>
      <c r="M394" s="41"/>
    </row>
    <row r="395">
      <c r="A395" s="40"/>
      <c r="M395" s="41"/>
    </row>
    <row r="396">
      <c r="A396" s="40"/>
      <c r="M396" s="41"/>
    </row>
    <row r="397">
      <c r="A397" s="40"/>
      <c r="M397" s="41"/>
    </row>
    <row r="398">
      <c r="A398" s="40"/>
      <c r="M398" s="41"/>
    </row>
    <row r="399">
      <c r="A399" s="40"/>
      <c r="M399" s="41"/>
    </row>
    <row r="400">
      <c r="A400" s="40"/>
      <c r="M400" s="41"/>
    </row>
    <row r="401">
      <c r="A401" s="40"/>
      <c r="M401" s="41"/>
    </row>
    <row r="402">
      <c r="A402" s="40"/>
      <c r="M402" s="41"/>
    </row>
    <row r="403">
      <c r="A403" s="40"/>
      <c r="M403" s="41"/>
    </row>
    <row r="404">
      <c r="A404" s="40"/>
      <c r="M404" s="41"/>
    </row>
    <row r="405">
      <c r="A405" s="40"/>
      <c r="M405" s="41"/>
    </row>
    <row r="406">
      <c r="A406" s="40"/>
      <c r="M406" s="41"/>
    </row>
    <row r="407">
      <c r="A407" s="40"/>
      <c r="M407" s="41"/>
    </row>
    <row r="408">
      <c r="A408" s="40"/>
      <c r="M408" s="41"/>
    </row>
    <row r="409">
      <c r="A409" s="40"/>
      <c r="M409" s="41"/>
    </row>
    <row r="410">
      <c r="A410" s="40"/>
      <c r="M410" s="41"/>
    </row>
    <row r="411">
      <c r="A411" s="40"/>
      <c r="M411" s="41"/>
    </row>
    <row r="412">
      <c r="A412" s="40"/>
      <c r="M412" s="41"/>
    </row>
    <row r="413">
      <c r="A413" s="40"/>
      <c r="M413" s="41"/>
    </row>
    <row r="414">
      <c r="A414" s="40"/>
      <c r="M414" s="41"/>
    </row>
    <row r="415">
      <c r="A415" s="40"/>
      <c r="M415" s="41"/>
    </row>
    <row r="416">
      <c r="A416" s="40"/>
      <c r="M416" s="41"/>
    </row>
    <row r="417">
      <c r="A417" s="40"/>
      <c r="M417" s="41"/>
    </row>
    <row r="418">
      <c r="A418" s="40"/>
      <c r="M418" s="41"/>
    </row>
    <row r="419">
      <c r="A419" s="40"/>
      <c r="M419" s="41"/>
    </row>
    <row r="420">
      <c r="A420" s="40"/>
      <c r="M420" s="41"/>
    </row>
    <row r="421">
      <c r="A421" s="40"/>
      <c r="M421" s="41"/>
    </row>
    <row r="422">
      <c r="A422" s="40"/>
      <c r="M422" s="41"/>
    </row>
    <row r="423">
      <c r="A423" s="40"/>
      <c r="M423" s="41"/>
    </row>
    <row r="424">
      <c r="A424" s="40"/>
      <c r="M424" s="41"/>
    </row>
    <row r="425">
      <c r="A425" s="40"/>
      <c r="M425" s="41"/>
    </row>
    <row r="426">
      <c r="A426" s="40"/>
      <c r="M426" s="41"/>
    </row>
    <row r="427">
      <c r="A427" s="40"/>
      <c r="M427" s="41"/>
    </row>
    <row r="428">
      <c r="A428" s="40"/>
      <c r="M428" s="41"/>
    </row>
    <row r="429">
      <c r="A429" s="40"/>
      <c r="M429" s="41"/>
    </row>
    <row r="430">
      <c r="A430" s="40"/>
      <c r="M430" s="41"/>
    </row>
    <row r="431">
      <c r="A431" s="40"/>
      <c r="M431" s="41"/>
    </row>
    <row r="432">
      <c r="A432" s="40"/>
      <c r="M432" s="41"/>
    </row>
    <row r="433">
      <c r="A433" s="40"/>
      <c r="M433" s="41"/>
    </row>
    <row r="434">
      <c r="A434" s="40"/>
      <c r="M434" s="41"/>
    </row>
    <row r="435">
      <c r="A435" s="40"/>
      <c r="M435" s="41"/>
    </row>
    <row r="436">
      <c r="A436" s="40"/>
      <c r="M436" s="41"/>
    </row>
    <row r="437">
      <c r="A437" s="40"/>
      <c r="M437" s="41"/>
    </row>
    <row r="438">
      <c r="A438" s="40"/>
      <c r="M438" s="41"/>
    </row>
    <row r="439">
      <c r="A439" s="40"/>
      <c r="M439" s="41"/>
    </row>
    <row r="440">
      <c r="A440" s="40"/>
      <c r="M440" s="41"/>
    </row>
    <row r="441">
      <c r="A441" s="40"/>
      <c r="M441" s="41"/>
    </row>
    <row r="442">
      <c r="A442" s="40"/>
      <c r="M442" s="41"/>
    </row>
    <row r="443">
      <c r="A443" s="40"/>
      <c r="M443" s="41"/>
    </row>
    <row r="444">
      <c r="A444" s="40"/>
      <c r="M444" s="41"/>
    </row>
    <row r="445">
      <c r="A445" s="40"/>
      <c r="M445" s="41"/>
    </row>
    <row r="446">
      <c r="A446" s="40"/>
      <c r="M446" s="41"/>
    </row>
    <row r="447">
      <c r="A447" s="40"/>
      <c r="M447" s="41"/>
    </row>
    <row r="448">
      <c r="A448" s="40"/>
      <c r="M448" s="41"/>
    </row>
    <row r="449">
      <c r="A449" s="40"/>
      <c r="M449" s="41"/>
    </row>
    <row r="450">
      <c r="A450" s="40"/>
      <c r="M450" s="41"/>
    </row>
    <row r="451">
      <c r="A451" s="40"/>
      <c r="M451" s="41"/>
    </row>
    <row r="452">
      <c r="A452" s="40"/>
      <c r="M452" s="41"/>
    </row>
    <row r="453">
      <c r="A453" s="40"/>
      <c r="M453" s="41"/>
    </row>
    <row r="454">
      <c r="A454" s="40"/>
      <c r="M454" s="41"/>
    </row>
    <row r="455">
      <c r="A455" s="40"/>
      <c r="M455" s="41"/>
    </row>
    <row r="456">
      <c r="A456" s="40"/>
      <c r="M456" s="41"/>
    </row>
    <row r="457">
      <c r="A457" s="40"/>
      <c r="M457" s="41"/>
    </row>
    <row r="458">
      <c r="A458" s="40"/>
      <c r="M458" s="41"/>
    </row>
    <row r="459">
      <c r="A459" s="40"/>
      <c r="M459" s="41"/>
    </row>
    <row r="460">
      <c r="A460" s="40"/>
      <c r="M460" s="41"/>
    </row>
    <row r="461">
      <c r="A461" s="40"/>
      <c r="M461" s="41"/>
    </row>
    <row r="462">
      <c r="A462" s="40"/>
      <c r="M462" s="41"/>
    </row>
    <row r="463">
      <c r="A463" s="40"/>
      <c r="M463" s="41"/>
    </row>
    <row r="464">
      <c r="A464" s="40"/>
      <c r="M464" s="41"/>
    </row>
    <row r="465">
      <c r="A465" s="40"/>
      <c r="M465" s="41"/>
    </row>
    <row r="466">
      <c r="A466" s="40"/>
      <c r="M466" s="41"/>
    </row>
    <row r="467">
      <c r="A467" s="40"/>
      <c r="M467" s="41"/>
    </row>
    <row r="468">
      <c r="A468" s="40"/>
      <c r="M468" s="41"/>
    </row>
    <row r="469">
      <c r="A469" s="40"/>
      <c r="M469" s="41"/>
    </row>
    <row r="470">
      <c r="A470" s="40"/>
      <c r="M470" s="41"/>
    </row>
    <row r="471">
      <c r="A471" s="40"/>
      <c r="M471" s="41"/>
    </row>
    <row r="472">
      <c r="A472" s="40"/>
      <c r="M472" s="41"/>
    </row>
    <row r="473">
      <c r="A473" s="40"/>
      <c r="M473" s="41"/>
    </row>
    <row r="474">
      <c r="A474" s="40"/>
      <c r="M474" s="41"/>
    </row>
    <row r="475">
      <c r="A475" s="40"/>
      <c r="M475" s="41"/>
    </row>
    <row r="476">
      <c r="A476" s="40"/>
      <c r="M476" s="41"/>
    </row>
    <row r="477">
      <c r="A477" s="40"/>
      <c r="M477" s="41"/>
    </row>
    <row r="478">
      <c r="A478" s="40"/>
      <c r="M478" s="41"/>
    </row>
    <row r="479">
      <c r="A479" s="40"/>
      <c r="M479" s="41"/>
    </row>
    <row r="480">
      <c r="A480" s="40"/>
      <c r="M480" s="41"/>
    </row>
    <row r="481">
      <c r="A481" s="40"/>
      <c r="M481" s="41"/>
    </row>
    <row r="482">
      <c r="A482" s="40"/>
      <c r="M482" s="41"/>
    </row>
    <row r="483">
      <c r="A483" s="40"/>
      <c r="M483" s="41"/>
    </row>
    <row r="484">
      <c r="A484" s="40"/>
      <c r="M484" s="41"/>
    </row>
    <row r="485">
      <c r="A485" s="40"/>
      <c r="M485" s="41"/>
    </row>
    <row r="486">
      <c r="A486" s="40"/>
      <c r="M486" s="41"/>
    </row>
    <row r="487">
      <c r="A487" s="40"/>
      <c r="M487" s="41"/>
    </row>
    <row r="488">
      <c r="A488" s="40"/>
      <c r="M488" s="41"/>
    </row>
    <row r="489">
      <c r="A489" s="40"/>
      <c r="M489" s="41"/>
    </row>
    <row r="490">
      <c r="A490" s="40"/>
      <c r="M490" s="41"/>
    </row>
    <row r="491">
      <c r="A491" s="40"/>
      <c r="M491" s="41"/>
    </row>
    <row r="492">
      <c r="A492" s="40"/>
      <c r="M492" s="41"/>
    </row>
    <row r="493">
      <c r="A493" s="40"/>
      <c r="M493" s="41"/>
    </row>
    <row r="494">
      <c r="A494" s="40"/>
      <c r="M494" s="41"/>
    </row>
    <row r="495">
      <c r="A495" s="40"/>
      <c r="M495" s="41"/>
    </row>
    <row r="496">
      <c r="A496" s="40"/>
      <c r="M496" s="41"/>
    </row>
    <row r="497">
      <c r="A497" s="40"/>
      <c r="M497" s="41"/>
    </row>
    <row r="498">
      <c r="A498" s="40"/>
      <c r="M498" s="41"/>
    </row>
    <row r="499">
      <c r="A499" s="40"/>
      <c r="M499" s="41"/>
    </row>
    <row r="500">
      <c r="A500" s="40"/>
      <c r="M500" s="41"/>
    </row>
    <row r="501">
      <c r="A501" s="40"/>
      <c r="M501" s="41"/>
    </row>
    <row r="502">
      <c r="A502" s="40"/>
      <c r="M502" s="41"/>
    </row>
    <row r="503">
      <c r="A503" s="40"/>
      <c r="M503" s="41"/>
    </row>
    <row r="504">
      <c r="A504" s="40"/>
      <c r="M504" s="41"/>
    </row>
    <row r="505">
      <c r="A505" s="40"/>
      <c r="M505" s="41"/>
    </row>
    <row r="506">
      <c r="A506" s="40"/>
      <c r="M506" s="41"/>
    </row>
    <row r="507">
      <c r="A507" s="40"/>
      <c r="M507" s="41"/>
    </row>
    <row r="508">
      <c r="A508" s="40"/>
      <c r="M508" s="41"/>
    </row>
    <row r="509">
      <c r="A509" s="40"/>
      <c r="M509" s="41"/>
    </row>
    <row r="510">
      <c r="A510" s="40"/>
      <c r="M510" s="41"/>
    </row>
    <row r="511">
      <c r="A511" s="40"/>
      <c r="M511" s="41"/>
    </row>
    <row r="512">
      <c r="A512" s="40"/>
      <c r="M512" s="41"/>
    </row>
    <row r="513">
      <c r="A513" s="40"/>
      <c r="M513" s="41"/>
    </row>
    <row r="514">
      <c r="A514" s="40"/>
      <c r="M514" s="41"/>
    </row>
    <row r="515">
      <c r="A515" s="40"/>
      <c r="M515" s="41"/>
    </row>
    <row r="516">
      <c r="A516" s="40"/>
      <c r="M516" s="41"/>
    </row>
    <row r="517">
      <c r="A517" s="40"/>
      <c r="M517" s="41"/>
    </row>
    <row r="518">
      <c r="A518" s="40"/>
      <c r="M518" s="41"/>
    </row>
    <row r="519">
      <c r="A519" s="40"/>
      <c r="M519" s="41"/>
    </row>
    <row r="520">
      <c r="A520" s="40"/>
      <c r="M520" s="41"/>
    </row>
    <row r="521">
      <c r="A521" s="40"/>
      <c r="M521" s="41"/>
    </row>
    <row r="522">
      <c r="A522" s="40"/>
      <c r="M522" s="41"/>
    </row>
    <row r="523">
      <c r="A523" s="40"/>
      <c r="M523" s="41"/>
    </row>
    <row r="524">
      <c r="A524" s="40"/>
      <c r="M524" s="41"/>
    </row>
    <row r="525">
      <c r="A525" s="40"/>
      <c r="M525" s="41"/>
    </row>
    <row r="526">
      <c r="A526" s="40"/>
      <c r="M526" s="41"/>
    </row>
    <row r="527">
      <c r="A527" s="40"/>
      <c r="M527" s="41"/>
    </row>
    <row r="528">
      <c r="A528" s="40"/>
      <c r="M528" s="41"/>
    </row>
    <row r="529">
      <c r="A529" s="40"/>
      <c r="M529" s="41"/>
    </row>
    <row r="530">
      <c r="A530" s="40"/>
      <c r="M530" s="41"/>
    </row>
    <row r="531">
      <c r="A531" s="40"/>
      <c r="M531" s="41"/>
    </row>
    <row r="532">
      <c r="A532" s="40"/>
      <c r="M532" s="41"/>
    </row>
    <row r="533">
      <c r="A533" s="40"/>
      <c r="M533" s="41"/>
    </row>
    <row r="534">
      <c r="A534" s="40"/>
      <c r="M534" s="41"/>
    </row>
    <row r="535">
      <c r="A535" s="40"/>
      <c r="M535" s="41"/>
    </row>
    <row r="536">
      <c r="A536" s="40"/>
      <c r="M536" s="41"/>
    </row>
    <row r="537">
      <c r="A537" s="40"/>
      <c r="M537" s="41"/>
    </row>
    <row r="538">
      <c r="A538" s="40"/>
      <c r="M538" s="41"/>
    </row>
    <row r="539">
      <c r="A539" s="40"/>
      <c r="M539" s="41"/>
    </row>
    <row r="540">
      <c r="A540" s="40"/>
      <c r="M540" s="41"/>
    </row>
    <row r="541">
      <c r="A541" s="40"/>
      <c r="M541" s="41"/>
    </row>
    <row r="542">
      <c r="A542" s="40"/>
      <c r="M542" s="41"/>
    </row>
    <row r="543">
      <c r="A543" s="40"/>
      <c r="M543" s="41"/>
    </row>
    <row r="544">
      <c r="A544" s="40"/>
      <c r="M544" s="41"/>
    </row>
    <row r="545">
      <c r="A545" s="40"/>
      <c r="M545" s="41"/>
    </row>
    <row r="546">
      <c r="A546" s="40"/>
      <c r="M546" s="41"/>
    </row>
    <row r="547">
      <c r="A547" s="40"/>
      <c r="M547" s="41"/>
    </row>
    <row r="548">
      <c r="A548" s="40"/>
      <c r="M548" s="41"/>
    </row>
    <row r="549">
      <c r="A549" s="40"/>
      <c r="M549" s="41"/>
    </row>
    <row r="550">
      <c r="A550" s="40"/>
      <c r="M550" s="41"/>
    </row>
    <row r="551">
      <c r="A551" s="40"/>
      <c r="M551" s="41"/>
    </row>
    <row r="552">
      <c r="A552" s="40"/>
      <c r="M552" s="41"/>
    </row>
    <row r="553">
      <c r="A553" s="40"/>
      <c r="M553" s="41"/>
    </row>
    <row r="554">
      <c r="A554" s="40"/>
      <c r="M554" s="41"/>
    </row>
    <row r="555">
      <c r="A555" s="40"/>
      <c r="M555" s="41"/>
    </row>
    <row r="556">
      <c r="A556" s="40"/>
      <c r="M556" s="41"/>
    </row>
    <row r="557">
      <c r="A557" s="40"/>
      <c r="M557" s="41"/>
    </row>
    <row r="558">
      <c r="A558" s="40"/>
      <c r="M558" s="41"/>
    </row>
    <row r="559">
      <c r="A559" s="40"/>
      <c r="M559" s="41"/>
    </row>
    <row r="560">
      <c r="A560" s="40"/>
      <c r="M560" s="41"/>
    </row>
    <row r="561">
      <c r="A561" s="40"/>
      <c r="M561" s="41"/>
    </row>
    <row r="562">
      <c r="A562" s="40"/>
      <c r="M562" s="41"/>
    </row>
    <row r="563">
      <c r="A563" s="40"/>
      <c r="M563" s="41"/>
    </row>
    <row r="564">
      <c r="A564" s="40"/>
      <c r="M564" s="41"/>
    </row>
    <row r="565">
      <c r="A565" s="40"/>
      <c r="M565" s="41"/>
    </row>
    <row r="566">
      <c r="A566" s="40"/>
      <c r="M566" s="41"/>
    </row>
    <row r="567">
      <c r="A567" s="40"/>
      <c r="M567" s="41"/>
    </row>
    <row r="568">
      <c r="A568" s="40"/>
      <c r="M568" s="41"/>
    </row>
    <row r="569">
      <c r="A569" s="40"/>
      <c r="M569" s="41"/>
    </row>
    <row r="570">
      <c r="A570" s="40"/>
      <c r="M570" s="41"/>
    </row>
    <row r="571">
      <c r="A571" s="40"/>
      <c r="M571" s="41"/>
    </row>
    <row r="572">
      <c r="A572" s="40"/>
      <c r="M572" s="41"/>
    </row>
    <row r="573">
      <c r="A573" s="40"/>
      <c r="M573" s="41"/>
    </row>
    <row r="574">
      <c r="A574" s="40"/>
      <c r="M574" s="41"/>
    </row>
    <row r="575">
      <c r="A575" s="40"/>
      <c r="M575" s="41"/>
    </row>
    <row r="576">
      <c r="A576" s="40"/>
      <c r="M576" s="41"/>
    </row>
    <row r="577">
      <c r="A577" s="40"/>
      <c r="M577" s="41"/>
    </row>
    <row r="578">
      <c r="A578" s="40"/>
      <c r="M578" s="41"/>
    </row>
    <row r="579">
      <c r="A579" s="40"/>
      <c r="M579" s="41"/>
    </row>
    <row r="580">
      <c r="A580" s="40"/>
      <c r="M580" s="41"/>
    </row>
    <row r="581">
      <c r="A581" s="40"/>
      <c r="M581" s="41"/>
    </row>
    <row r="582">
      <c r="A582" s="40"/>
      <c r="M582" s="41"/>
    </row>
    <row r="583">
      <c r="A583" s="40"/>
      <c r="M583" s="41"/>
    </row>
    <row r="584">
      <c r="A584" s="40"/>
      <c r="M584" s="41"/>
    </row>
    <row r="585">
      <c r="A585" s="40"/>
      <c r="M585" s="41"/>
    </row>
    <row r="586">
      <c r="A586" s="40"/>
      <c r="M586" s="41"/>
    </row>
    <row r="587">
      <c r="A587" s="40"/>
      <c r="M587" s="41"/>
    </row>
    <row r="588">
      <c r="A588" s="40"/>
      <c r="M588" s="41"/>
    </row>
    <row r="589">
      <c r="A589" s="40"/>
      <c r="M589" s="41"/>
    </row>
    <row r="590">
      <c r="A590" s="40"/>
      <c r="M590" s="41"/>
    </row>
    <row r="591">
      <c r="A591" s="40"/>
      <c r="M591" s="41"/>
    </row>
    <row r="592">
      <c r="A592" s="40"/>
      <c r="M592" s="41"/>
    </row>
    <row r="593">
      <c r="A593" s="40"/>
      <c r="M593" s="41"/>
    </row>
    <row r="594">
      <c r="A594" s="40"/>
      <c r="M594" s="41"/>
    </row>
    <row r="595">
      <c r="A595" s="40"/>
      <c r="M595" s="41"/>
    </row>
    <row r="596">
      <c r="A596" s="40"/>
      <c r="M596" s="41"/>
    </row>
    <row r="597">
      <c r="A597" s="40"/>
      <c r="M597" s="41"/>
    </row>
    <row r="598">
      <c r="A598" s="40"/>
      <c r="M598" s="41"/>
    </row>
    <row r="599">
      <c r="A599" s="40"/>
      <c r="M599" s="41"/>
    </row>
    <row r="600">
      <c r="A600" s="40"/>
      <c r="M600" s="41"/>
    </row>
    <row r="601">
      <c r="A601" s="40"/>
      <c r="M601" s="41"/>
    </row>
    <row r="602">
      <c r="A602" s="40"/>
      <c r="M602" s="41"/>
    </row>
    <row r="603">
      <c r="A603" s="40"/>
      <c r="M603" s="41"/>
    </row>
    <row r="604">
      <c r="A604" s="40"/>
      <c r="M604" s="41"/>
    </row>
    <row r="605">
      <c r="A605" s="40"/>
      <c r="M605" s="41"/>
    </row>
    <row r="606">
      <c r="A606" s="40"/>
      <c r="M606" s="41"/>
    </row>
    <row r="607">
      <c r="A607" s="40"/>
      <c r="M607" s="41"/>
    </row>
    <row r="608">
      <c r="A608" s="40"/>
      <c r="M608" s="41"/>
    </row>
    <row r="609">
      <c r="A609" s="40"/>
      <c r="M609" s="41"/>
    </row>
    <row r="610">
      <c r="A610" s="40"/>
      <c r="M610" s="41"/>
    </row>
    <row r="611">
      <c r="A611" s="40"/>
      <c r="M611" s="41"/>
    </row>
    <row r="612">
      <c r="A612" s="40"/>
      <c r="M612" s="41"/>
    </row>
    <row r="613">
      <c r="A613" s="40"/>
      <c r="M613" s="41"/>
    </row>
    <row r="614">
      <c r="A614" s="40"/>
      <c r="M614" s="41"/>
    </row>
    <row r="615">
      <c r="A615" s="40"/>
      <c r="M615" s="41"/>
    </row>
    <row r="616">
      <c r="A616" s="40"/>
      <c r="M616" s="41"/>
    </row>
    <row r="617">
      <c r="A617" s="40"/>
      <c r="M617" s="41"/>
    </row>
    <row r="618">
      <c r="A618" s="40"/>
      <c r="M618" s="41"/>
    </row>
    <row r="619">
      <c r="A619" s="40"/>
      <c r="M619" s="41"/>
    </row>
    <row r="620">
      <c r="A620" s="40"/>
      <c r="M620" s="41"/>
    </row>
    <row r="621">
      <c r="A621" s="40"/>
      <c r="M621" s="41"/>
    </row>
    <row r="622">
      <c r="A622" s="40"/>
      <c r="M622" s="41"/>
    </row>
    <row r="623">
      <c r="A623" s="40"/>
      <c r="M623" s="41"/>
    </row>
    <row r="624">
      <c r="A624" s="40"/>
      <c r="M624" s="41"/>
    </row>
    <row r="625">
      <c r="A625" s="40"/>
      <c r="M625" s="41"/>
    </row>
    <row r="626">
      <c r="A626" s="40"/>
      <c r="M626" s="41"/>
    </row>
    <row r="627">
      <c r="A627" s="40"/>
      <c r="M627" s="41"/>
    </row>
    <row r="628">
      <c r="A628" s="40"/>
      <c r="M628" s="41"/>
    </row>
    <row r="629">
      <c r="A629" s="40"/>
      <c r="M629" s="41"/>
    </row>
    <row r="630">
      <c r="A630" s="40"/>
      <c r="M630" s="41"/>
    </row>
    <row r="631">
      <c r="A631" s="40"/>
      <c r="M631" s="41"/>
    </row>
    <row r="632">
      <c r="A632" s="40"/>
      <c r="M632" s="41"/>
    </row>
    <row r="633">
      <c r="A633" s="40"/>
      <c r="M633" s="41"/>
    </row>
    <row r="634">
      <c r="A634" s="40"/>
      <c r="M634" s="41"/>
    </row>
    <row r="635">
      <c r="A635" s="40"/>
      <c r="M635" s="41"/>
    </row>
    <row r="636">
      <c r="A636" s="40"/>
      <c r="M636" s="41"/>
    </row>
    <row r="637">
      <c r="A637" s="40"/>
      <c r="M637" s="41"/>
    </row>
    <row r="638">
      <c r="A638" s="40"/>
      <c r="M638" s="41"/>
    </row>
    <row r="639">
      <c r="A639" s="40"/>
      <c r="M639" s="41"/>
    </row>
    <row r="640">
      <c r="A640" s="40"/>
      <c r="M640" s="41"/>
    </row>
    <row r="641">
      <c r="A641" s="40"/>
      <c r="M641" s="41"/>
    </row>
    <row r="642">
      <c r="A642" s="40"/>
      <c r="M642" s="41"/>
    </row>
    <row r="643">
      <c r="A643" s="40"/>
      <c r="M643" s="41"/>
    </row>
    <row r="644">
      <c r="A644" s="40"/>
      <c r="M644" s="41"/>
    </row>
    <row r="645">
      <c r="A645" s="40"/>
      <c r="M645" s="41"/>
    </row>
    <row r="646">
      <c r="A646" s="40"/>
      <c r="M646" s="41"/>
    </row>
    <row r="647">
      <c r="A647" s="40"/>
      <c r="M647" s="41"/>
    </row>
    <row r="648">
      <c r="A648" s="40"/>
      <c r="M648" s="41"/>
    </row>
    <row r="649">
      <c r="A649" s="40"/>
      <c r="M649" s="41"/>
    </row>
    <row r="650">
      <c r="A650" s="40"/>
      <c r="M650" s="41"/>
    </row>
    <row r="651">
      <c r="A651" s="40"/>
      <c r="M651" s="41"/>
    </row>
    <row r="652">
      <c r="A652" s="40"/>
      <c r="M652" s="41"/>
    </row>
    <row r="653">
      <c r="A653" s="40"/>
      <c r="M653" s="41"/>
    </row>
    <row r="654">
      <c r="A654" s="40"/>
      <c r="M654" s="41"/>
    </row>
    <row r="655">
      <c r="A655" s="40"/>
      <c r="M655" s="41"/>
    </row>
    <row r="656">
      <c r="A656" s="40"/>
      <c r="M656" s="41"/>
    </row>
    <row r="657">
      <c r="A657" s="40"/>
      <c r="M657" s="41"/>
    </row>
    <row r="658">
      <c r="A658" s="40"/>
      <c r="M658" s="41"/>
    </row>
    <row r="659">
      <c r="A659" s="40"/>
      <c r="M659" s="41"/>
    </row>
    <row r="660">
      <c r="A660" s="40"/>
      <c r="M660" s="41"/>
    </row>
    <row r="661">
      <c r="A661" s="40"/>
      <c r="M661" s="41"/>
    </row>
    <row r="662">
      <c r="A662" s="40"/>
      <c r="M662" s="41"/>
    </row>
    <row r="663">
      <c r="A663" s="40"/>
      <c r="M663" s="41"/>
    </row>
    <row r="664">
      <c r="A664" s="40"/>
      <c r="M664" s="41"/>
    </row>
    <row r="665">
      <c r="A665" s="40"/>
      <c r="M665" s="41"/>
    </row>
    <row r="666">
      <c r="A666" s="40"/>
      <c r="M666" s="41"/>
    </row>
    <row r="667">
      <c r="A667" s="40"/>
      <c r="M667" s="41"/>
    </row>
    <row r="668">
      <c r="A668" s="40"/>
      <c r="M668" s="41"/>
    </row>
    <row r="669">
      <c r="A669" s="40"/>
      <c r="M669" s="41"/>
    </row>
    <row r="670">
      <c r="A670" s="40"/>
      <c r="M670" s="41"/>
    </row>
    <row r="671">
      <c r="A671" s="40"/>
      <c r="M671" s="41"/>
    </row>
    <row r="672">
      <c r="A672" s="40"/>
      <c r="M672" s="41"/>
    </row>
    <row r="673">
      <c r="A673" s="40"/>
      <c r="M673" s="41"/>
    </row>
    <row r="674">
      <c r="A674" s="40"/>
      <c r="M674" s="41"/>
    </row>
    <row r="675">
      <c r="A675" s="40"/>
      <c r="M675" s="41"/>
    </row>
    <row r="676">
      <c r="A676" s="40"/>
      <c r="M676" s="41"/>
    </row>
    <row r="677">
      <c r="A677" s="40"/>
      <c r="M677" s="41"/>
    </row>
    <row r="678">
      <c r="A678" s="40"/>
      <c r="M678" s="41"/>
    </row>
    <row r="679">
      <c r="A679" s="40"/>
      <c r="M679" s="41"/>
    </row>
    <row r="680">
      <c r="A680" s="40"/>
      <c r="M680" s="41"/>
    </row>
    <row r="681">
      <c r="A681" s="40"/>
      <c r="M681" s="41"/>
    </row>
    <row r="682">
      <c r="A682" s="40"/>
      <c r="M682" s="41"/>
    </row>
    <row r="683">
      <c r="A683" s="40"/>
      <c r="M683" s="41"/>
    </row>
    <row r="684">
      <c r="A684" s="40"/>
      <c r="M684" s="41"/>
    </row>
    <row r="685">
      <c r="A685" s="40"/>
      <c r="M685" s="41"/>
    </row>
    <row r="686">
      <c r="A686" s="40"/>
      <c r="M686" s="41"/>
    </row>
    <row r="687">
      <c r="A687" s="40"/>
      <c r="M687" s="41"/>
    </row>
    <row r="688">
      <c r="A688" s="40"/>
      <c r="M688" s="41"/>
    </row>
    <row r="689">
      <c r="A689" s="40"/>
      <c r="M689" s="41"/>
    </row>
    <row r="690">
      <c r="A690" s="40"/>
      <c r="M690" s="41"/>
    </row>
    <row r="691">
      <c r="A691" s="40"/>
      <c r="M691" s="41"/>
    </row>
    <row r="692">
      <c r="A692" s="40"/>
      <c r="M692" s="41"/>
    </row>
    <row r="693">
      <c r="A693" s="40"/>
      <c r="M693" s="41"/>
    </row>
    <row r="694">
      <c r="A694" s="40"/>
      <c r="M694" s="41"/>
    </row>
    <row r="695">
      <c r="A695" s="40"/>
      <c r="M695" s="41"/>
    </row>
    <row r="696">
      <c r="A696" s="40"/>
      <c r="M696" s="41"/>
    </row>
    <row r="697">
      <c r="A697" s="40"/>
      <c r="M697" s="41"/>
    </row>
    <row r="698">
      <c r="A698" s="40"/>
      <c r="M698" s="41"/>
    </row>
    <row r="699">
      <c r="A699" s="40"/>
      <c r="M699" s="41"/>
    </row>
    <row r="700">
      <c r="A700" s="40"/>
      <c r="M700" s="41"/>
    </row>
    <row r="701">
      <c r="A701" s="40"/>
      <c r="M701" s="41"/>
    </row>
    <row r="702">
      <c r="A702" s="40"/>
      <c r="M702" s="41"/>
    </row>
    <row r="703">
      <c r="A703" s="40"/>
      <c r="M703" s="41"/>
    </row>
    <row r="704">
      <c r="A704" s="40"/>
      <c r="M704" s="41"/>
    </row>
    <row r="705">
      <c r="A705" s="40"/>
      <c r="M705" s="41"/>
    </row>
    <row r="706">
      <c r="A706" s="40"/>
      <c r="M706" s="41"/>
    </row>
    <row r="707">
      <c r="A707" s="40"/>
      <c r="M707" s="41"/>
    </row>
    <row r="708">
      <c r="A708" s="40"/>
      <c r="M708" s="41"/>
    </row>
    <row r="709">
      <c r="A709" s="40"/>
      <c r="M709" s="41"/>
    </row>
    <row r="710">
      <c r="A710" s="40"/>
      <c r="M710" s="41"/>
    </row>
    <row r="711">
      <c r="A711" s="40"/>
      <c r="M711" s="41"/>
    </row>
    <row r="712">
      <c r="A712" s="40"/>
      <c r="M712" s="41"/>
    </row>
    <row r="713">
      <c r="A713" s="40"/>
      <c r="M713" s="41"/>
    </row>
    <row r="714">
      <c r="A714" s="40"/>
      <c r="M714" s="41"/>
    </row>
    <row r="715">
      <c r="A715" s="40"/>
      <c r="M715" s="41"/>
    </row>
    <row r="716">
      <c r="A716" s="40"/>
      <c r="M716" s="41"/>
    </row>
    <row r="717">
      <c r="A717" s="40"/>
      <c r="M717" s="41"/>
    </row>
    <row r="718">
      <c r="A718" s="40"/>
      <c r="M718" s="41"/>
    </row>
    <row r="719">
      <c r="A719" s="40"/>
      <c r="M719" s="41"/>
    </row>
    <row r="720">
      <c r="A720" s="40"/>
      <c r="M720" s="41"/>
    </row>
    <row r="721">
      <c r="A721" s="40"/>
      <c r="M721" s="41"/>
    </row>
    <row r="722">
      <c r="A722" s="40"/>
      <c r="M722" s="41"/>
    </row>
    <row r="723">
      <c r="A723" s="40"/>
      <c r="M723" s="41"/>
    </row>
    <row r="724">
      <c r="A724" s="40"/>
      <c r="M724" s="41"/>
    </row>
    <row r="725">
      <c r="A725" s="40"/>
      <c r="M725" s="41"/>
    </row>
    <row r="726">
      <c r="A726" s="40"/>
      <c r="M726" s="41"/>
    </row>
    <row r="727">
      <c r="A727" s="40"/>
      <c r="M727" s="41"/>
    </row>
    <row r="728">
      <c r="A728" s="40"/>
      <c r="M728" s="41"/>
    </row>
    <row r="729">
      <c r="A729" s="40"/>
      <c r="M729" s="41"/>
    </row>
    <row r="730">
      <c r="A730" s="40"/>
      <c r="M730" s="41"/>
    </row>
    <row r="731">
      <c r="A731" s="40"/>
      <c r="M731" s="41"/>
    </row>
    <row r="732">
      <c r="A732" s="40"/>
      <c r="M732" s="41"/>
    </row>
    <row r="733">
      <c r="A733" s="40"/>
      <c r="M733" s="41"/>
    </row>
    <row r="734">
      <c r="A734" s="40"/>
      <c r="M734" s="41"/>
    </row>
    <row r="735">
      <c r="A735" s="40"/>
      <c r="M735" s="41"/>
    </row>
    <row r="736">
      <c r="A736" s="40"/>
      <c r="M736" s="41"/>
    </row>
    <row r="737">
      <c r="A737" s="40"/>
      <c r="M737" s="41"/>
    </row>
    <row r="738">
      <c r="A738" s="40"/>
      <c r="M738" s="41"/>
    </row>
    <row r="739">
      <c r="A739" s="40"/>
      <c r="M739" s="41"/>
    </row>
    <row r="740">
      <c r="A740" s="40"/>
      <c r="M740" s="41"/>
    </row>
    <row r="741">
      <c r="A741" s="40"/>
      <c r="M741" s="41"/>
    </row>
    <row r="742">
      <c r="A742" s="40"/>
      <c r="M742" s="41"/>
    </row>
    <row r="743">
      <c r="A743" s="40"/>
      <c r="M743" s="41"/>
    </row>
    <row r="744">
      <c r="A744" s="40"/>
      <c r="M744" s="41"/>
    </row>
    <row r="745">
      <c r="A745" s="40"/>
      <c r="M745" s="41"/>
    </row>
    <row r="746">
      <c r="A746" s="40"/>
      <c r="M746" s="41"/>
    </row>
    <row r="747">
      <c r="A747" s="40"/>
      <c r="M747" s="41"/>
    </row>
    <row r="748">
      <c r="A748" s="40"/>
      <c r="M748" s="41"/>
    </row>
    <row r="749">
      <c r="A749" s="40"/>
      <c r="M749" s="41"/>
    </row>
    <row r="750">
      <c r="A750" s="40"/>
      <c r="M750" s="41"/>
    </row>
    <row r="751">
      <c r="A751" s="40"/>
      <c r="M751" s="41"/>
    </row>
    <row r="752">
      <c r="A752" s="40"/>
      <c r="M752" s="41"/>
    </row>
    <row r="753">
      <c r="A753" s="40"/>
      <c r="M753" s="41"/>
    </row>
    <row r="754">
      <c r="A754" s="40"/>
      <c r="M754" s="41"/>
    </row>
    <row r="755">
      <c r="A755" s="40"/>
      <c r="M755" s="41"/>
    </row>
    <row r="756">
      <c r="A756" s="40"/>
      <c r="M756" s="41"/>
    </row>
    <row r="757">
      <c r="A757" s="40"/>
      <c r="M757" s="41"/>
    </row>
    <row r="758">
      <c r="A758" s="40"/>
      <c r="M758" s="41"/>
    </row>
    <row r="759">
      <c r="A759" s="40"/>
      <c r="M759" s="41"/>
    </row>
    <row r="760">
      <c r="A760" s="40"/>
      <c r="M760" s="41"/>
    </row>
    <row r="761">
      <c r="A761" s="40"/>
      <c r="M761" s="41"/>
    </row>
    <row r="762">
      <c r="A762" s="40"/>
      <c r="M762" s="41"/>
    </row>
    <row r="763">
      <c r="A763" s="40"/>
      <c r="M763" s="41"/>
    </row>
    <row r="764">
      <c r="A764" s="40"/>
      <c r="M764" s="41"/>
    </row>
    <row r="765">
      <c r="A765" s="40"/>
      <c r="M765" s="41"/>
    </row>
    <row r="766">
      <c r="A766" s="40"/>
      <c r="M766" s="41"/>
    </row>
    <row r="767">
      <c r="A767" s="40"/>
      <c r="M767" s="41"/>
    </row>
    <row r="768">
      <c r="A768" s="40"/>
      <c r="M768" s="41"/>
    </row>
    <row r="769">
      <c r="A769" s="40"/>
      <c r="M769" s="41"/>
    </row>
    <row r="770">
      <c r="A770" s="40"/>
      <c r="M770" s="41"/>
    </row>
    <row r="771">
      <c r="A771" s="40"/>
      <c r="M771" s="41"/>
    </row>
    <row r="772">
      <c r="A772" s="40"/>
      <c r="M772" s="41"/>
    </row>
    <row r="773">
      <c r="A773" s="40"/>
      <c r="M773" s="41"/>
    </row>
    <row r="774">
      <c r="A774" s="40"/>
      <c r="M774" s="41"/>
    </row>
    <row r="775">
      <c r="A775" s="40"/>
      <c r="M775" s="41"/>
    </row>
    <row r="776">
      <c r="A776" s="40"/>
      <c r="M776" s="41"/>
    </row>
    <row r="777">
      <c r="A777" s="40"/>
      <c r="M777" s="41"/>
    </row>
    <row r="778">
      <c r="A778" s="40"/>
      <c r="M778" s="41"/>
    </row>
    <row r="779">
      <c r="A779" s="40"/>
      <c r="M779" s="41"/>
    </row>
    <row r="780">
      <c r="A780" s="40"/>
      <c r="M780" s="41"/>
    </row>
    <row r="781">
      <c r="A781" s="40"/>
      <c r="M781" s="41"/>
    </row>
    <row r="782">
      <c r="A782" s="40"/>
      <c r="M782" s="41"/>
    </row>
    <row r="783">
      <c r="A783" s="40"/>
      <c r="M783" s="41"/>
    </row>
    <row r="784">
      <c r="A784" s="40"/>
      <c r="M784" s="41"/>
    </row>
    <row r="785">
      <c r="A785" s="40"/>
      <c r="M785" s="41"/>
    </row>
    <row r="786">
      <c r="A786" s="40"/>
      <c r="M786" s="41"/>
    </row>
    <row r="787">
      <c r="A787" s="40"/>
      <c r="M787" s="41"/>
    </row>
    <row r="788">
      <c r="A788" s="40"/>
      <c r="M788" s="41"/>
    </row>
    <row r="789">
      <c r="A789" s="40"/>
      <c r="M789" s="41"/>
    </row>
    <row r="790">
      <c r="A790" s="40"/>
      <c r="M790" s="41"/>
    </row>
    <row r="791">
      <c r="A791" s="40"/>
      <c r="M791" s="41"/>
    </row>
    <row r="792">
      <c r="A792" s="40"/>
      <c r="M792" s="41"/>
    </row>
    <row r="793">
      <c r="A793" s="40"/>
      <c r="M793" s="41"/>
    </row>
    <row r="794">
      <c r="A794" s="40"/>
      <c r="M794" s="41"/>
    </row>
    <row r="795">
      <c r="A795" s="40"/>
      <c r="M795" s="41"/>
    </row>
    <row r="796">
      <c r="A796" s="40"/>
      <c r="M796" s="41"/>
    </row>
    <row r="797">
      <c r="A797" s="40"/>
      <c r="M797" s="41"/>
    </row>
    <row r="798">
      <c r="A798" s="40"/>
      <c r="M798" s="41"/>
    </row>
    <row r="799">
      <c r="A799" s="40"/>
      <c r="M799" s="41"/>
    </row>
    <row r="800">
      <c r="A800" s="40"/>
      <c r="M800" s="41"/>
    </row>
    <row r="801">
      <c r="A801" s="40"/>
      <c r="M801" s="41"/>
    </row>
    <row r="802">
      <c r="A802" s="40"/>
      <c r="M802" s="41"/>
    </row>
    <row r="803">
      <c r="A803" s="40"/>
      <c r="M803" s="41"/>
    </row>
    <row r="804">
      <c r="A804" s="40"/>
      <c r="M804" s="41"/>
    </row>
    <row r="805">
      <c r="A805" s="40"/>
      <c r="M805" s="41"/>
    </row>
    <row r="806">
      <c r="A806" s="40"/>
      <c r="M806" s="41"/>
    </row>
    <row r="807">
      <c r="A807" s="40"/>
      <c r="M807" s="41"/>
    </row>
    <row r="808">
      <c r="A808" s="40"/>
      <c r="M808" s="41"/>
    </row>
    <row r="809">
      <c r="A809" s="40"/>
      <c r="M809" s="41"/>
    </row>
    <row r="810">
      <c r="A810" s="40"/>
      <c r="M810" s="41"/>
    </row>
    <row r="811">
      <c r="A811" s="40"/>
      <c r="M811" s="41"/>
    </row>
    <row r="812">
      <c r="A812" s="40"/>
      <c r="M812" s="41"/>
    </row>
    <row r="813">
      <c r="A813" s="40"/>
      <c r="M813" s="41"/>
    </row>
    <row r="814">
      <c r="A814" s="40"/>
      <c r="M814" s="41"/>
    </row>
    <row r="815">
      <c r="A815" s="40"/>
      <c r="M815" s="41"/>
    </row>
    <row r="816">
      <c r="A816" s="40"/>
      <c r="M816" s="41"/>
    </row>
    <row r="817">
      <c r="A817" s="40"/>
      <c r="M817" s="41"/>
    </row>
    <row r="818">
      <c r="A818" s="40"/>
      <c r="M818" s="41"/>
    </row>
    <row r="819">
      <c r="A819" s="40"/>
      <c r="M819" s="41"/>
    </row>
    <row r="820">
      <c r="A820" s="40"/>
      <c r="M820" s="41"/>
    </row>
    <row r="821">
      <c r="A821" s="40"/>
      <c r="M821" s="41"/>
    </row>
    <row r="822">
      <c r="A822" s="40"/>
      <c r="M822" s="41"/>
    </row>
    <row r="823">
      <c r="A823" s="40"/>
      <c r="M823" s="41"/>
    </row>
    <row r="824">
      <c r="A824" s="40"/>
      <c r="M824" s="41"/>
    </row>
    <row r="825">
      <c r="A825" s="40"/>
      <c r="M825" s="41"/>
    </row>
    <row r="826">
      <c r="A826" s="40"/>
      <c r="M826" s="41"/>
    </row>
    <row r="827">
      <c r="A827" s="40"/>
      <c r="M827" s="41"/>
    </row>
    <row r="828">
      <c r="A828" s="40"/>
      <c r="M828" s="41"/>
    </row>
    <row r="829">
      <c r="A829" s="40"/>
      <c r="M829" s="41"/>
    </row>
    <row r="830">
      <c r="A830" s="40"/>
      <c r="M830" s="41"/>
    </row>
    <row r="831">
      <c r="A831" s="40"/>
      <c r="M831" s="41"/>
    </row>
    <row r="832">
      <c r="A832" s="40"/>
      <c r="M832" s="41"/>
    </row>
    <row r="833">
      <c r="A833" s="40"/>
      <c r="M833" s="41"/>
    </row>
    <row r="834">
      <c r="A834" s="40"/>
      <c r="M834" s="41"/>
    </row>
    <row r="835">
      <c r="A835" s="40"/>
      <c r="M835" s="41"/>
    </row>
    <row r="836">
      <c r="A836" s="40"/>
      <c r="M836" s="41"/>
    </row>
    <row r="837">
      <c r="A837" s="40"/>
      <c r="M837" s="41"/>
    </row>
    <row r="838">
      <c r="A838" s="40"/>
      <c r="M838" s="41"/>
    </row>
    <row r="839">
      <c r="A839" s="40"/>
      <c r="M839" s="41"/>
    </row>
    <row r="840">
      <c r="A840" s="40"/>
      <c r="M840" s="41"/>
    </row>
    <row r="841">
      <c r="A841" s="40"/>
      <c r="M841" s="41"/>
    </row>
    <row r="842">
      <c r="A842" s="40"/>
      <c r="M842" s="41"/>
    </row>
    <row r="843">
      <c r="A843" s="40"/>
      <c r="M843" s="41"/>
    </row>
    <row r="844">
      <c r="A844" s="40"/>
      <c r="M844" s="41"/>
    </row>
    <row r="845">
      <c r="A845" s="40"/>
      <c r="M845" s="41"/>
    </row>
    <row r="846">
      <c r="A846" s="40"/>
      <c r="M846" s="41"/>
    </row>
    <row r="847">
      <c r="A847" s="40"/>
      <c r="M847" s="41"/>
    </row>
    <row r="848">
      <c r="A848" s="40"/>
      <c r="M848" s="41"/>
    </row>
    <row r="849">
      <c r="A849" s="40"/>
      <c r="M849" s="41"/>
    </row>
    <row r="850">
      <c r="A850" s="40"/>
      <c r="M850" s="41"/>
    </row>
    <row r="851">
      <c r="A851" s="40"/>
      <c r="M851" s="41"/>
    </row>
    <row r="852">
      <c r="A852" s="40"/>
      <c r="M852" s="41"/>
    </row>
    <row r="853">
      <c r="A853" s="40"/>
      <c r="M853" s="41"/>
    </row>
    <row r="854">
      <c r="A854" s="40"/>
      <c r="M854" s="41"/>
    </row>
    <row r="855">
      <c r="A855" s="40"/>
      <c r="M855" s="41"/>
    </row>
    <row r="856">
      <c r="A856" s="40"/>
      <c r="M856" s="41"/>
    </row>
    <row r="857">
      <c r="A857" s="40"/>
      <c r="M857" s="41"/>
    </row>
    <row r="858">
      <c r="A858" s="40"/>
      <c r="M858" s="41"/>
    </row>
    <row r="859">
      <c r="A859" s="40"/>
      <c r="M859" s="41"/>
    </row>
    <row r="860">
      <c r="A860" s="40"/>
      <c r="M860" s="41"/>
    </row>
    <row r="861">
      <c r="A861" s="40"/>
      <c r="M861" s="41"/>
    </row>
    <row r="862">
      <c r="A862" s="40"/>
      <c r="M862" s="41"/>
    </row>
    <row r="863">
      <c r="A863" s="40"/>
      <c r="M863" s="41"/>
    </row>
    <row r="864">
      <c r="A864" s="40"/>
      <c r="M864" s="41"/>
    </row>
    <row r="865">
      <c r="A865" s="40"/>
      <c r="M865" s="41"/>
    </row>
    <row r="866">
      <c r="A866" s="40"/>
      <c r="M866" s="41"/>
    </row>
    <row r="867">
      <c r="A867" s="40"/>
      <c r="M867" s="41"/>
    </row>
    <row r="868">
      <c r="A868" s="40"/>
      <c r="M868" s="41"/>
    </row>
    <row r="869">
      <c r="A869" s="40"/>
      <c r="M869" s="41"/>
    </row>
    <row r="870">
      <c r="A870" s="40"/>
      <c r="M870" s="41"/>
    </row>
    <row r="871">
      <c r="A871" s="40"/>
      <c r="M871" s="41"/>
    </row>
    <row r="872">
      <c r="A872" s="40"/>
      <c r="M872" s="41"/>
    </row>
    <row r="873">
      <c r="A873" s="40"/>
      <c r="M873" s="41"/>
    </row>
    <row r="874">
      <c r="A874" s="40"/>
      <c r="M874" s="41"/>
    </row>
    <row r="875">
      <c r="A875" s="40"/>
      <c r="M875" s="41"/>
    </row>
    <row r="876">
      <c r="A876" s="40"/>
      <c r="M876" s="41"/>
    </row>
    <row r="877">
      <c r="A877" s="40"/>
      <c r="M877" s="41"/>
    </row>
    <row r="878">
      <c r="A878" s="40"/>
      <c r="M878" s="41"/>
    </row>
    <row r="879">
      <c r="A879" s="40"/>
      <c r="M879" s="41"/>
    </row>
    <row r="880">
      <c r="A880" s="40"/>
      <c r="M880" s="41"/>
    </row>
    <row r="881">
      <c r="A881" s="40"/>
      <c r="M881" s="41"/>
    </row>
    <row r="882">
      <c r="A882" s="40"/>
      <c r="M882" s="41"/>
    </row>
    <row r="883">
      <c r="A883" s="40"/>
      <c r="M883" s="41"/>
    </row>
    <row r="884">
      <c r="A884" s="40"/>
      <c r="M884" s="41"/>
    </row>
    <row r="885">
      <c r="A885" s="40"/>
      <c r="M885" s="41"/>
    </row>
    <row r="886">
      <c r="A886" s="40"/>
      <c r="M886" s="41"/>
    </row>
    <row r="887">
      <c r="A887" s="40"/>
      <c r="M887" s="41"/>
    </row>
    <row r="888">
      <c r="A888" s="40"/>
      <c r="M888" s="41"/>
    </row>
    <row r="889">
      <c r="A889" s="40"/>
      <c r="M889" s="41"/>
    </row>
    <row r="890">
      <c r="A890" s="40"/>
      <c r="M890" s="41"/>
    </row>
    <row r="891">
      <c r="A891" s="40"/>
      <c r="M891" s="41"/>
    </row>
    <row r="892">
      <c r="A892" s="40"/>
      <c r="M892" s="41"/>
    </row>
    <row r="893">
      <c r="A893" s="40"/>
      <c r="M893" s="41"/>
    </row>
    <row r="894">
      <c r="A894" s="40"/>
      <c r="M894" s="41"/>
    </row>
    <row r="895">
      <c r="A895" s="40"/>
      <c r="M895" s="41"/>
    </row>
    <row r="896">
      <c r="A896" s="40"/>
      <c r="M896" s="41"/>
    </row>
    <row r="897">
      <c r="A897" s="40"/>
      <c r="M897" s="41"/>
    </row>
    <row r="898">
      <c r="A898" s="40"/>
      <c r="M898" s="41"/>
    </row>
    <row r="899">
      <c r="A899" s="40"/>
      <c r="M899" s="41"/>
    </row>
    <row r="900">
      <c r="A900" s="40"/>
      <c r="M900" s="41"/>
    </row>
    <row r="901">
      <c r="A901" s="40"/>
      <c r="M901" s="41"/>
    </row>
    <row r="902">
      <c r="A902" s="40"/>
      <c r="M902" s="41"/>
    </row>
    <row r="903">
      <c r="A903" s="40"/>
      <c r="M903" s="41"/>
    </row>
    <row r="904">
      <c r="A904" s="40"/>
      <c r="M904" s="41"/>
    </row>
    <row r="905">
      <c r="A905" s="40"/>
      <c r="M905" s="41"/>
    </row>
    <row r="906">
      <c r="A906" s="40"/>
      <c r="M906" s="41"/>
    </row>
    <row r="907">
      <c r="A907" s="40"/>
      <c r="M907" s="41"/>
    </row>
    <row r="908">
      <c r="A908" s="40"/>
      <c r="M908" s="41"/>
    </row>
    <row r="909">
      <c r="A909" s="40"/>
      <c r="M909" s="41"/>
    </row>
    <row r="910">
      <c r="A910" s="40"/>
      <c r="M910" s="41"/>
    </row>
    <row r="911">
      <c r="A911" s="40"/>
      <c r="M911" s="41"/>
    </row>
    <row r="912">
      <c r="A912" s="40"/>
      <c r="M912" s="41"/>
    </row>
    <row r="913">
      <c r="A913" s="40"/>
      <c r="M913" s="41"/>
    </row>
    <row r="914">
      <c r="A914" s="40"/>
      <c r="M914" s="41"/>
    </row>
    <row r="915">
      <c r="A915" s="40"/>
      <c r="M915" s="41"/>
    </row>
    <row r="916">
      <c r="A916" s="40"/>
      <c r="M916" s="41"/>
    </row>
    <row r="917">
      <c r="A917" s="40"/>
      <c r="M917" s="41"/>
    </row>
    <row r="918">
      <c r="A918" s="40"/>
      <c r="M918" s="41"/>
    </row>
    <row r="919">
      <c r="A919" s="40"/>
      <c r="M919" s="41"/>
    </row>
    <row r="920">
      <c r="A920" s="40"/>
      <c r="M920" s="41"/>
    </row>
    <row r="921">
      <c r="A921" s="40"/>
      <c r="M921" s="41"/>
    </row>
    <row r="922">
      <c r="A922" s="40"/>
      <c r="M922" s="41"/>
    </row>
    <row r="923">
      <c r="A923" s="40"/>
      <c r="M923" s="41"/>
    </row>
    <row r="924">
      <c r="A924" s="40"/>
      <c r="M924" s="41"/>
    </row>
    <row r="925">
      <c r="A925" s="40"/>
      <c r="M925" s="41"/>
    </row>
    <row r="926">
      <c r="A926" s="40"/>
      <c r="M926" s="41"/>
    </row>
    <row r="927">
      <c r="A927" s="40"/>
      <c r="M927" s="41"/>
    </row>
    <row r="928">
      <c r="A928" s="40"/>
      <c r="M928" s="41"/>
    </row>
    <row r="929">
      <c r="A929" s="40"/>
      <c r="M929" s="41"/>
    </row>
    <row r="930">
      <c r="A930" s="40"/>
      <c r="M930" s="41"/>
    </row>
    <row r="931">
      <c r="A931" s="40"/>
      <c r="M931" s="41"/>
    </row>
    <row r="932">
      <c r="A932" s="40"/>
      <c r="M932" s="41"/>
    </row>
    <row r="933">
      <c r="A933" s="40"/>
      <c r="M933" s="41"/>
    </row>
    <row r="934">
      <c r="A934" s="40"/>
      <c r="M934" s="41"/>
    </row>
    <row r="935">
      <c r="A935" s="40"/>
      <c r="M935" s="41"/>
    </row>
    <row r="936">
      <c r="A936" s="40"/>
      <c r="M936" s="41"/>
    </row>
    <row r="937">
      <c r="A937" s="40"/>
      <c r="M937" s="41"/>
    </row>
    <row r="938">
      <c r="A938" s="40"/>
      <c r="M938" s="41"/>
    </row>
    <row r="939">
      <c r="A939" s="40"/>
      <c r="M939" s="41"/>
    </row>
    <row r="940">
      <c r="A940" s="40"/>
      <c r="M940" s="41"/>
    </row>
    <row r="941">
      <c r="A941" s="40"/>
      <c r="M941" s="41"/>
    </row>
    <row r="942">
      <c r="A942" s="40"/>
      <c r="M942" s="41"/>
    </row>
    <row r="943">
      <c r="A943" s="40"/>
      <c r="M943" s="41"/>
    </row>
    <row r="944">
      <c r="A944" s="40"/>
      <c r="M944" s="41"/>
    </row>
    <row r="945">
      <c r="A945" s="40"/>
      <c r="M945" s="41"/>
    </row>
    <row r="946">
      <c r="A946" s="40"/>
      <c r="M946" s="41"/>
    </row>
    <row r="947">
      <c r="A947" s="40"/>
      <c r="M947" s="41"/>
    </row>
    <row r="948">
      <c r="A948" s="40"/>
      <c r="M948" s="41"/>
    </row>
    <row r="949">
      <c r="A949" s="40"/>
      <c r="M949" s="41"/>
    </row>
    <row r="950">
      <c r="A950" s="40"/>
      <c r="M950" s="41"/>
    </row>
    <row r="951">
      <c r="A951" s="40"/>
      <c r="M951" s="41"/>
    </row>
    <row r="952">
      <c r="A952" s="40"/>
      <c r="M952" s="41"/>
    </row>
    <row r="953">
      <c r="A953" s="40"/>
      <c r="M953" s="41"/>
    </row>
    <row r="954">
      <c r="A954" s="40"/>
      <c r="M954" s="41"/>
    </row>
    <row r="955">
      <c r="A955" s="40"/>
      <c r="M955" s="41"/>
    </row>
    <row r="956">
      <c r="A956" s="40"/>
      <c r="M956" s="41"/>
    </row>
    <row r="957">
      <c r="A957" s="40"/>
      <c r="M957" s="41"/>
    </row>
    <row r="958">
      <c r="A958" s="40"/>
      <c r="M958" s="41"/>
    </row>
    <row r="959">
      <c r="A959" s="40"/>
      <c r="M959" s="41"/>
    </row>
    <row r="960">
      <c r="A960" s="40"/>
      <c r="M960" s="41"/>
    </row>
    <row r="961">
      <c r="A961" s="40"/>
      <c r="M961" s="41"/>
    </row>
    <row r="962">
      <c r="A962" s="40"/>
      <c r="M962" s="41"/>
    </row>
    <row r="963">
      <c r="A963" s="40"/>
      <c r="M963" s="41"/>
    </row>
    <row r="964">
      <c r="A964" s="40"/>
      <c r="M964" s="41"/>
    </row>
    <row r="965">
      <c r="A965" s="40"/>
      <c r="M965" s="41"/>
    </row>
    <row r="966">
      <c r="A966" s="40"/>
      <c r="M966" s="41"/>
    </row>
    <row r="967">
      <c r="A967" s="40"/>
      <c r="M967" s="41"/>
    </row>
    <row r="968">
      <c r="A968" s="40"/>
      <c r="M968" s="41"/>
    </row>
    <row r="969">
      <c r="A969" s="40"/>
      <c r="M969" s="41"/>
    </row>
    <row r="970">
      <c r="A970" s="40"/>
      <c r="M970" s="41"/>
    </row>
    <row r="971">
      <c r="A971" s="40"/>
      <c r="M971" s="41"/>
    </row>
    <row r="972">
      <c r="A972" s="40"/>
      <c r="M972" s="41"/>
    </row>
    <row r="973">
      <c r="A973" s="40"/>
      <c r="M973" s="41"/>
    </row>
    <row r="974">
      <c r="A974" s="40"/>
      <c r="M974" s="41"/>
    </row>
    <row r="975">
      <c r="A975" s="40"/>
      <c r="M975" s="41"/>
    </row>
    <row r="976">
      <c r="A976" s="40"/>
      <c r="M976" s="41"/>
    </row>
    <row r="977">
      <c r="A977" s="40"/>
      <c r="M977"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5"/>
    <col customWidth="1" min="6" max="6" width="20.63"/>
    <col customWidth="1" min="7" max="7" width="51.63"/>
  </cols>
  <sheetData>
    <row r="1" ht="16.5" customHeight="1">
      <c r="A1" s="15" t="s">
        <v>36</v>
      </c>
      <c r="B1" s="15" t="s">
        <v>509</v>
      </c>
      <c r="C1" s="15" t="s">
        <v>510</v>
      </c>
      <c r="D1" s="15" t="s">
        <v>511</v>
      </c>
      <c r="E1" s="15" t="s">
        <v>512</v>
      </c>
      <c r="F1" s="15" t="s">
        <v>93</v>
      </c>
      <c r="G1" s="15" t="s">
        <v>42</v>
      </c>
      <c r="H1" s="17"/>
      <c r="I1" s="17"/>
      <c r="J1" s="17"/>
      <c r="K1" s="17"/>
      <c r="L1" s="17"/>
      <c r="M1" s="17"/>
      <c r="N1" s="17"/>
      <c r="O1" s="17"/>
      <c r="P1" s="17"/>
      <c r="Q1" s="17"/>
      <c r="R1" s="17"/>
      <c r="S1" s="17"/>
      <c r="T1" s="17"/>
      <c r="U1" s="17"/>
      <c r="V1" s="17"/>
      <c r="W1" s="17"/>
      <c r="X1" s="17"/>
      <c r="Y1" s="17"/>
      <c r="Z1" s="17"/>
    </row>
    <row r="2">
      <c r="A2" s="18" t="s">
        <v>20</v>
      </c>
      <c r="B2" s="19">
        <v>46160.0</v>
      </c>
      <c r="C2" s="20">
        <v>0.4215277777777778</v>
      </c>
      <c r="D2" s="18" t="s">
        <v>513</v>
      </c>
      <c r="E2" s="18">
        <v>1.0</v>
      </c>
      <c r="F2" s="18" t="s">
        <v>100</v>
      </c>
      <c r="G2" s="18" t="s">
        <v>514</v>
      </c>
    </row>
    <row r="3">
      <c r="A3" s="18" t="s">
        <v>20</v>
      </c>
      <c r="B3" s="19">
        <v>46160.0</v>
      </c>
      <c r="C3" s="20">
        <v>0.4215277777777778</v>
      </c>
      <c r="D3" s="18" t="s">
        <v>515</v>
      </c>
      <c r="E3" s="18">
        <v>4.0</v>
      </c>
      <c r="F3" s="18" t="s">
        <v>143</v>
      </c>
    </row>
    <row r="4">
      <c r="A4" s="18" t="s">
        <v>22</v>
      </c>
      <c r="B4" s="19">
        <v>46160.0</v>
      </c>
      <c r="C4" s="20">
        <v>0.46805555555555556</v>
      </c>
      <c r="D4" s="18" t="s">
        <v>513</v>
      </c>
      <c r="E4" s="18">
        <v>4.0</v>
      </c>
      <c r="F4" s="18" t="s">
        <v>100</v>
      </c>
      <c r="G4" s="18" t="s">
        <v>516</v>
      </c>
    </row>
    <row r="5">
      <c r="A5" s="18" t="s">
        <v>9</v>
      </c>
      <c r="B5" s="19">
        <v>46175.0</v>
      </c>
      <c r="C5" s="20">
        <v>0.4215277777777778</v>
      </c>
      <c r="D5" s="18" t="s">
        <v>513</v>
      </c>
      <c r="E5" s="18">
        <v>1.0</v>
      </c>
      <c r="F5" s="18" t="s">
        <v>100</v>
      </c>
      <c r="G5" s="18" t="s">
        <v>514</v>
      </c>
    </row>
    <row r="6">
      <c r="A6" s="18" t="s">
        <v>7</v>
      </c>
      <c r="C6" s="20">
        <v>0.5555555555555556</v>
      </c>
      <c r="D6" s="18" t="s">
        <v>513</v>
      </c>
      <c r="E6" s="18">
        <v>2.0</v>
      </c>
      <c r="F6" s="18" t="s">
        <v>100</v>
      </c>
    </row>
    <row r="7">
      <c r="D7" s="18" t="s">
        <v>513</v>
      </c>
      <c r="E7" s="18">
        <v>1.0</v>
      </c>
      <c r="F7" s="18" t="s">
        <v>517</v>
      </c>
    </row>
    <row r="8">
      <c r="D8" s="18" t="s">
        <v>515</v>
      </c>
      <c r="E8" s="18">
        <v>2.0</v>
      </c>
      <c r="F8" s="18" t="s">
        <v>100</v>
      </c>
    </row>
    <row r="9">
      <c r="D9" s="18" t="s">
        <v>515</v>
      </c>
      <c r="E9" s="18">
        <v>2.0</v>
      </c>
      <c r="F9" s="18" t="s">
        <v>133</v>
      </c>
    </row>
    <row r="10">
      <c r="A10" s="18" t="s">
        <v>24</v>
      </c>
      <c r="B10" s="19">
        <v>46177.0</v>
      </c>
      <c r="C10" s="20">
        <v>0.35833333333333334</v>
      </c>
      <c r="D10" s="18" t="s">
        <v>513</v>
      </c>
      <c r="E10" s="18">
        <v>2.0</v>
      </c>
      <c r="F10" s="18" t="s">
        <v>100</v>
      </c>
      <c r="G10" s="18" t="s">
        <v>518</v>
      </c>
    </row>
    <row r="11">
      <c r="D11" s="18" t="s">
        <v>515</v>
      </c>
      <c r="E11" s="18">
        <v>1.0</v>
      </c>
      <c r="F11" s="18" t="s">
        <v>170</v>
      </c>
    </row>
    <row r="12">
      <c r="D12" s="18" t="s">
        <v>515</v>
      </c>
      <c r="E12" s="18">
        <v>1.0</v>
      </c>
      <c r="F12" s="21" t="s">
        <v>172</v>
      </c>
    </row>
    <row r="13">
      <c r="A13" s="18" t="s">
        <v>28</v>
      </c>
      <c r="B13" s="19">
        <v>46177.0</v>
      </c>
      <c r="C13" s="20">
        <v>0.4125</v>
      </c>
      <c r="D13" s="18" t="s">
        <v>515</v>
      </c>
      <c r="E13" s="18">
        <v>8.0</v>
      </c>
      <c r="F13" s="18" t="s">
        <v>100</v>
      </c>
      <c r="G13" s="18" t="s">
        <v>519</v>
      </c>
    </row>
    <row r="14">
      <c r="D14" s="18" t="s">
        <v>513</v>
      </c>
      <c r="E14" s="18">
        <v>1.0</v>
      </c>
      <c r="F14" s="18" t="s">
        <v>186</v>
      </c>
    </row>
    <row r="15">
      <c r="A15" s="18" t="s">
        <v>26</v>
      </c>
      <c r="B15" s="19">
        <v>46177.0</v>
      </c>
      <c r="C15" s="20">
        <v>0.45625</v>
      </c>
      <c r="D15" s="18" t="s">
        <v>513</v>
      </c>
      <c r="E15" s="18">
        <v>6.0</v>
      </c>
      <c r="F15" s="18" t="s">
        <v>100</v>
      </c>
      <c r="G15" s="18" t="s">
        <v>520</v>
      </c>
    </row>
    <row r="16">
      <c r="A16" s="18" t="s">
        <v>24</v>
      </c>
      <c r="B16" s="19">
        <v>46177.0</v>
      </c>
      <c r="C16" s="20">
        <v>0.5180555555555556</v>
      </c>
      <c r="D16" s="18" t="s">
        <v>515</v>
      </c>
      <c r="E16" s="18">
        <v>1.0</v>
      </c>
      <c r="F16" s="18" t="s">
        <v>521</v>
      </c>
    </row>
    <row r="17">
      <c r="D17" s="18" t="s">
        <v>515</v>
      </c>
      <c r="E17" s="18">
        <v>1.0</v>
      </c>
      <c r="F17" s="18" t="s">
        <v>170</v>
      </c>
    </row>
    <row r="18">
      <c r="A18" s="18" t="s">
        <v>28</v>
      </c>
      <c r="B18" s="19">
        <v>46177.0</v>
      </c>
      <c r="C18" s="20">
        <v>0.5597222222222222</v>
      </c>
      <c r="D18" s="18" t="s">
        <v>515</v>
      </c>
      <c r="E18" s="18">
        <v>3.0</v>
      </c>
      <c r="F18" s="18" t="s">
        <v>521</v>
      </c>
    </row>
    <row r="19">
      <c r="D19" s="18" t="s">
        <v>515</v>
      </c>
      <c r="E19" s="18">
        <v>1.0</v>
      </c>
      <c r="F19" s="18" t="s">
        <v>522</v>
      </c>
    </row>
    <row r="20">
      <c r="A20" s="18" t="s">
        <v>26</v>
      </c>
      <c r="B20" s="19">
        <v>46177.0</v>
      </c>
      <c r="C20" s="20">
        <v>0.6111111111111112</v>
      </c>
      <c r="D20" s="18" t="s">
        <v>513</v>
      </c>
      <c r="E20" s="18">
        <v>5.0</v>
      </c>
      <c r="F20" s="18" t="s">
        <v>100</v>
      </c>
      <c r="G20" s="18" t="s">
        <v>520</v>
      </c>
    </row>
    <row r="21">
      <c r="D21" s="18" t="s">
        <v>515</v>
      </c>
      <c r="E21" s="18">
        <v>1.0</v>
      </c>
      <c r="F21" s="18" t="s">
        <v>186</v>
      </c>
    </row>
    <row r="22">
      <c r="A22" s="18" t="s">
        <v>14</v>
      </c>
      <c r="B22" s="19">
        <v>46181.0</v>
      </c>
      <c r="C22" s="20">
        <v>0.4527777777777778</v>
      </c>
      <c r="D22" s="18" t="s">
        <v>515</v>
      </c>
      <c r="E22" s="18">
        <v>1.0</v>
      </c>
      <c r="F22" s="18" t="s">
        <v>213</v>
      </c>
    </row>
    <row r="23">
      <c r="D23" s="18" t="s">
        <v>513</v>
      </c>
      <c r="E23" s="18">
        <v>1.0</v>
      </c>
      <c r="F23" s="18" t="s">
        <v>213</v>
      </c>
    </row>
    <row r="24">
      <c r="A24" s="18" t="s">
        <v>14</v>
      </c>
      <c r="B24" s="19">
        <v>46181.0</v>
      </c>
      <c r="C24" s="20">
        <v>0.5888888888888889</v>
      </c>
      <c r="D24" s="18" t="s">
        <v>515</v>
      </c>
      <c r="E24" s="18">
        <v>1.0</v>
      </c>
      <c r="F24" s="18" t="s">
        <v>213</v>
      </c>
    </row>
    <row r="25">
      <c r="A25" s="18" t="s">
        <v>20</v>
      </c>
      <c r="B25" s="19">
        <v>46197.0</v>
      </c>
      <c r="C25" s="20">
        <v>0.3923611111111111</v>
      </c>
      <c r="D25" s="18" t="s">
        <v>513</v>
      </c>
      <c r="E25" s="18">
        <v>4.0</v>
      </c>
      <c r="F25" s="18" t="s">
        <v>100</v>
      </c>
    </row>
    <row r="26">
      <c r="D26" s="18" t="s">
        <v>515</v>
      </c>
      <c r="E26" s="18">
        <v>1.0</v>
      </c>
      <c r="F26" s="18" t="s">
        <v>523</v>
      </c>
    </row>
    <row r="27">
      <c r="D27" s="18" t="s">
        <v>515</v>
      </c>
      <c r="E27" s="18">
        <v>3.0</v>
      </c>
      <c r="F27" s="18" t="s">
        <v>417</v>
      </c>
    </row>
    <row r="28">
      <c r="D28" s="18" t="s">
        <v>513</v>
      </c>
      <c r="E28" s="18">
        <v>1.0</v>
      </c>
      <c r="F28" s="18" t="s">
        <v>294</v>
      </c>
    </row>
    <row r="29">
      <c r="D29" s="18" t="s">
        <v>515</v>
      </c>
      <c r="E29" s="18">
        <v>2.0</v>
      </c>
      <c r="F29" s="18" t="s">
        <v>524</v>
      </c>
    </row>
    <row r="30">
      <c r="A30" s="18" t="s">
        <v>65</v>
      </c>
      <c r="B30" s="19">
        <v>46197.0</v>
      </c>
      <c r="C30" s="20">
        <v>0.4930555555555556</v>
      </c>
      <c r="D30" s="18" t="s">
        <v>515</v>
      </c>
      <c r="E30" s="18">
        <v>1.0</v>
      </c>
      <c r="F30" s="18" t="s">
        <v>201</v>
      </c>
    </row>
    <row r="31">
      <c r="A31" s="18" t="s">
        <v>20</v>
      </c>
      <c r="B31" s="19">
        <v>46197.0</v>
      </c>
      <c r="C31" s="20">
        <v>0.5416666666666666</v>
      </c>
      <c r="D31" s="18" t="s">
        <v>525</v>
      </c>
      <c r="E31" s="18">
        <v>1.0</v>
      </c>
      <c r="F31" s="18" t="s">
        <v>417</v>
      </c>
    </row>
    <row r="32">
      <c r="D32" s="18" t="s">
        <v>526</v>
      </c>
      <c r="E32" s="18">
        <v>1.0</v>
      </c>
      <c r="F32" s="18" t="s">
        <v>417</v>
      </c>
    </row>
    <row r="33">
      <c r="D33" s="18" t="s">
        <v>525</v>
      </c>
      <c r="E33" s="18">
        <v>1.0</v>
      </c>
      <c r="F33" s="18" t="s">
        <v>232</v>
      </c>
    </row>
    <row r="34">
      <c r="A34" s="18" t="s">
        <v>22</v>
      </c>
      <c r="B34" s="19">
        <v>46197.0</v>
      </c>
      <c r="C34" s="20">
        <v>0.5902777777777778</v>
      </c>
      <c r="D34" s="18" t="s">
        <v>515</v>
      </c>
      <c r="E34" s="18">
        <v>1.0</v>
      </c>
      <c r="F34" s="18" t="s">
        <v>256</v>
      </c>
    </row>
    <row r="35">
      <c r="A35" s="18" t="s">
        <v>65</v>
      </c>
      <c r="B35" s="19">
        <v>46197.0</v>
      </c>
      <c r="C35" s="20">
        <v>0.6166666666666667</v>
      </c>
      <c r="D35" s="18" t="s">
        <v>515</v>
      </c>
      <c r="E35" s="18">
        <v>1.0</v>
      </c>
      <c r="F35" s="18" t="s">
        <v>100</v>
      </c>
      <c r="G35" s="18" t="s">
        <v>527</v>
      </c>
    </row>
    <row r="36">
      <c r="A36" s="18" t="s">
        <v>29</v>
      </c>
      <c r="B36" s="19">
        <v>46198.0</v>
      </c>
      <c r="C36" s="20">
        <v>0.34375</v>
      </c>
      <c r="D36" s="18" t="s">
        <v>528</v>
      </c>
      <c r="E36" s="18">
        <v>1.0</v>
      </c>
      <c r="F36" s="18" t="s">
        <v>529</v>
      </c>
    </row>
    <row r="37">
      <c r="A37" s="18" t="s">
        <v>26</v>
      </c>
      <c r="B37" s="19">
        <v>46198.0</v>
      </c>
      <c r="C37" s="20">
        <v>0.3715277777777778</v>
      </c>
      <c r="D37" s="18" t="s">
        <v>528</v>
      </c>
      <c r="E37" s="18">
        <v>1.0</v>
      </c>
      <c r="F37" s="18" t="s">
        <v>530</v>
      </c>
    </row>
    <row r="38">
      <c r="D38" s="18" t="s">
        <v>528</v>
      </c>
      <c r="E38" s="18">
        <v>1.0</v>
      </c>
      <c r="F38" s="18" t="s">
        <v>312</v>
      </c>
    </row>
    <row r="39">
      <c r="D39" s="18" t="s">
        <v>528</v>
      </c>
      <c r="E39" s="18">
        <v>1.0</v>
      </c>
      <c r="F39" s="18" t="s">
        <v>294</v>
      </c>
    </row>
    <row r="40">
      <c r="D40" s="18" t="s">
        <v>513</v>
      </c>
      <c r="E40" s="18">
        <v>2.0</v>
      </c>
      <c r="F40" s="18" t="s">
        <v>100</v>
      </c>
      <c r="G40" s="18" t="s">
        <v>520</v>
      </c>
    </row>
    <row r="41">
      <c r="A41" s="18" t="s">
        <v>24</v>
      </c>
      <c r="B41" s="19">
        <v>46198.0</v>
      </c>
      <c r="C41" s="20">
        <v>0.4097222222222222</v>
      </c>
      <c r="D41" s="18" t="s">
        <v>528</v>
      </c>
      <c r="E41" s="18">
        <v>1.0</v>
      </c>
      <c r="F41" s="18" t="s">
        <v>529</v>
      </c>
    </row>
    <row r="42">
      <c r="D42" s="18" t="s">
        <v>528</v>
      </c>
      <c r="E42" s="18">
        <v>1.0</v>
      </c>
      <c r="F42" s="18" t="s">
        <v>312</v>
      </c>
    </row>
    <row r="43">
      <c r="A43" s="18" t="s">
        <v>26</v>
      </c>
      <c r="B43" s="19">
        <v>46198.0</v>
      </c>
      <c r="C43" s="20">
        <v>0.5381944444444444</v>
      </c>
      <c r="D43" s="18" t="s">
        <v>528</v>
      </c>
      <c r="E43" s="18">
        <v>6.0</v>
      </c>
      <c r="F43" s="18" t="s">
        <v>529</v>
      </c>
    </row>
    <row r="44">
      <c r="A44" s="18" t="s">
        <v>24</v>
      </c>
      <c r="B44" s="19">
        <v>46198.0</v>
      </c>
      <c r="C44" s="20">
        <v>0.5729166666666666</v>
      </c>
      <c r="D44" s="18" t="s">
        <v>525</v>
      </c>
      <c r="E44" s="18">
        <v>1.0</v>
      </c>
      <c r="F44" s="18" t="s">
        <v>531</v>
      </c>
    </row>
    <row r="45">
      <c r="D45" s="18" t="s">
        <v>525</v>
      </c>
      <c r="E45" s="18">
        <v>1.0</v>
      </c>
      <c r="F45" s="18" t="s">
        <v>256</v>
      </c>
    </row>
    <row r="46">
      <c r="D46" s="18" t="s">
        <v>528</v>
      </c>
      <c r="E46" s="18">
        <v>3.0</v>
      </c>
      <c r="F46" s="18" t="s">
        <v>529</v>
      </c>
    </row>
    <row r="47">
      <c r="A47" s="18" t="s">
        <v>31</v>
      </c>
      <c r="B47" s="19">
        <v>46203.0</v>
      </c>
      <c r="C47" s="20">
        <v>0.3923611111111111</v>
      </c>
      <c r="D47" s="18" t="s">
        <v>528</v>
      </c>
      <c r="E47" s="18">
        <v>1.0</v>
      </c>
      <c r="F47" s="18" t="s">
        <v>532</v>
      </c>
    </row>
    <row r="48">
      <c r="D48" s="18" t="s">
        <v>528</v>
      </c>
      <c r="E48" s="18">
        <v>1.0</v>
      </c>
      <c r="F48" s="18" t="s">
        <v>529</v>
      </c>
    </row>
    <row r="49">
      <c r="D49" s="18" t="s">
        <v>533</v>
      </c>
      <c r="E49" s="18">
        <v>2.0</v>
      </c>
      <c r="F49" s="18" t="s">
        <v>247</v>
      </c>
    </row>
    <row r="50">
      <c r="A50" s="18" t="s">
        <v>11</v>
      </c>
      <c r="B50" s="19">
        <v>46203.0</v>
      </c>
      <c r="C50" s="20">
        <v>0.4354166666666667</v>
      </c>
      <c r="D50" s="18" t="s">
        <v>528</v>
      </c>
      <c r="E50" s="18">
        <v>1.0</v>
      </c>
      <c r="F50" s="18" t="s">
        <v>294</v>
      </c>
    </row>
    <row r="51">
      <c r="D51" s="18" t="s">
        <v>534</v>
      </c>
      <c r="E51" s="18">
        <v>1.0</v>
      </c>
      <c r="F51" s="18" t="s">
        <v>256</v>
      </c>
    </row>
    <row r="52">
      <c r="D52" s="18" t="s">
        <v>535</v>
      </c>
      <c r="E52" s="18">
        <v>3.0</v>
      </c>
      <c r="F52" s="18" t="s">
        <v>247</v>
      </c>
    </row>
    <row r="53">
      <c r="D53" s="18" t="s">
        <v>536</v>
      </c>
      <c r="E53" s="18">
        <v>2.0</v>
      </c>
      <c r="F53" s="18" t="s">
        <v>399</v>
      </c>
    </row>
    <row r="54">
      <c r="A54" s="18" t="s">
        <v>7</v>
      </c>
      <c r="B54" s="19">
        <v>46203.0</v>
      </c>
      <c r="C54" s="20">
        <v>0.47638888888888886</v>
      </c>
      <c r="D54" s="18" t="s">
        <v>535</v>
      </c>
      <c r="E54" s="18">
        <v>1.0</v>
      </c>
      <c r="F54" s="18" t="s">
        <v>464</v>
      </c>
    </row>
    <row r="55">
      <c r="A55" s="18" t="s">
        <v>31</v>
      </c>
      <c r="B55" s="19">
        <v>46203.0</v>
      </c>
      <c r="C55" s="20">
        <v>0.5590277777777778</v>
      </c>
      <c r="D55" s="18" t="s">
        <v>528</v>
      </c>
      <c r="E55" s="18">
        <v>1.0</v>
      </c>
      <c r="F55" s="18" t="s">
        <v>529</v>
      </c>
    </row>
    <row r="56">
      <c r="A56" s="18" t="s">
        <v>11</v>
      </c>
      <c r="B56" s="19">
        <v>46203.0</v>
      </c>
      <c r="C56" s="20">
        <v>0.6076388888888888</v>
      </c>
      <c r="D56" s="18" t="s">
        <v>534</v>
      </c>
      <c r="E56" s="18">
        <v>1.0</v>
      </c>
      <c r="F56" s="18" t="s">
        <v>256</v>
      </c>
    </row>
    <row r="57">
      <c r="D57" s="18" t="s">
        <v>535</v>
      </c>
      <c r="E57" s="18">
        <v>3.0</v>
      </c>
      <c r="F57" s="18" t="s">
        <v>537</v>
      </c>
    </row>
    <row r="58">
      <c r="D58" s="18" t="s">
        <v>536</v>
      </c>
      <c r="E58" s="18">
        <v>1.0</v>
      </c>
      <c r="F58" s="18" t="s">
        <v>399</v>
      </c>
    </row>
    <row r="59">
      <c r="D59" s="18" t="s">
        <v>535</v>
      </c>
      <c r="E59" s="18">
        <v>1.0</v>
      </c>
      <c r="F59" s="18" t="s">
        <v>538</v>
      </c>
    </row>
    <row r="60">
      <c r="D60" s="18" t="s">
        <v>528</v>
      </c>
      <c r="E60" s="18">
        <v>1.0</v>
      </c>
      <c r="F60" s="18" t="s">
        <v>100</v>
      </c>
      <c r="G60" s="18" t="s">
        <v>539</v>
      </c>
    </row>
    <row r="61">
      <c r="A61" s="18" t="s">
        <v>7</v>
      </c>
      <c r="B61" s="19">
        <v>46203.0</v>
      </c>
      <c r="C61" s="20">
        <v>0.6770833333333334</v>
      </c>
      <c r="D61" s="18" t="s">
        <v>528</v>
      </c>
      <c r="E61" s="18">
        <v>1.0</v>
      </c>
      <c r="F61" s="18" t="s">
        <v>315</v>
      </c>
    </row>
    <row r="62">
      <c r="D62" s="18" t="s">
        <v>534</v>
      </c>
      <c r="E62" s="18">
        <v>1.0</v>
      </c>
      <c r="F62" s="18" t="s">
        <v>312</v>
      </c>
    </row>
    <row r="63">
      <c r="D63" s="18" t="s">
        <v>528</v>
      </c>
      <c r="E63" s="18">
        <v>1.0</v>
      </c>
      <c r="F63" s="18" t="s">
        <v>540</v>
      </c>
    </row>
    <row r="64">
      <c r="D64" s="18" t="s">
        <v>541</v>
      </c>
      <c r="E64" s="18">
        <v>1.0</v>
      </c>
      <c r="F64" s="18" t="s">
        <v>542</v>
      </c>
    </row>
    <row r="65">
      <c r="A65" s="18" t="s">
        <v>45</v>
      </c>
      <c r="B65" s="19">
        <v>46211.0</v>
      </c>
      <c r="C65" s="20">
        <v>0.3958333333333333</v>
      </c>
      <c r="D65" s="18" t="s">
        <v>528</v>
      </c>
      <c r="E65" s="18">
        <v>1.0</v>
      </c>
      <c r="F65" s="18" t="s">
        <v>543</v>
      </c>
    </row>
    <row r="66">
      <c r="A66" s="18" t="s">
        <v>14</v>
      </c>
      <c r="B66" s="19">
        <v>46211.0</v>
      </c>
      <c r="C66" s="20">
        <v>0.4215277777777778</v>
      </c>
      <c r="D66" s="18" t="s">
        <v>535</v>
      </c>
      <c r="E66" s="18">
        <v>2.0</v>
      </c>
      <c r="F66" s="18" t="s">
        <v>417</v>
      </c>
    </row>
    <row r="67">
      <c r="D67" s="18" t="s">
        <v>513</v>
      </c>
      <c r="E67" s="18">
        <v>1.0</v>
      </c>
      <c r="F67" s="18" t="s">
        <v>444</v>
      </c>
    </row>
    <row r="68">
      <c r="D68" s="18" t="s">
        <v>541</v>
      </c>
      <c r="E68" s="18">
        <v>1.0</v>
      </c>
      <c r="F68" s="18" t="s">
        <v>417</v>
      </c>
    </row>
    <row r="69">
      <c r="A69" s="18" t="s">
        <v>16</v>
      </c>
      <c r="B69" s="19">
        <v>46211.0</v>
      </c>
      <c r="C69" s="20">
        <v>0.4548611111111111</v>
      </c>
      <c r="D69" s="18" t="s">
        <v>541</v>
      </c>
      <c r="E69" s="18">
        <v>1.0</v>
      </c>
      <c r="F69" s="18" t="s">
        <v>256</v>
      </c>
    </row>
    <row r="70">
      <c r="A70" s="18" t="s">
        <v>45</v>
      </c>
      <c r="B70" s="19">
        <v>46211.0</v>
      </c>
      <c r="C70" s="20">
        <v>0.5131944444444444</v>
      </c>
      <c r="D70" s="18" t="s">
        <v>541</v>
      </c>
      <c r="E70" s="18">
        <v>1.0</v>
      </c>
      <c r="F70" s="18" t="s">
        <v>543</v>
      </c>
    </row>
    <row r="71">
      <c r="A71" s="18" t="s">
        <v>14</v>
      </c>
      <c r="B71" s="19">
        <v>46211.0</v>
      </c>
      <c r="C71" s="20">
        <v>0.5729166666666666</v>
      </c>
      <c r="D71" s="18" t="s">
        <v>513</v>
      </c>
      <c r="E71" s="18">
        <v>1.0</v>
      </c>
      <c r="F71" s="18" t="s">
        <v>100</v>
      </c>
    </row>
    <row r="72">
      <c r="D72" s="18" t="s">
        <v>544</v>
      </c>
      <c r="E72" s="18">
        <v>1.0</v>
      </c>
      <c r="F72" s="18" t="s">
        <v>417</v>
      </c>
    </row>
    <row r="73">
      <c r="D73" s="18" t="s">
        <v>535</v>
      </c>
      <c r="E73" s="18">
        <v>2.0</v>
      </c>
      <c r="F73" s="18" t="s">
        <v>417</v>
      </c>
    </row>
    <row r="74">
      <c r="D74" s="18" t="s">
        <v>541</v>
      </c>
      <c r="E74" s="18">
        <v>1.0</v>
      </c>
      <c r="F74" s="18" t="s">
        <v>545</v>
      </c>
    </row>
    <row r="75">
      <c r="A75" s="18" t="s">
        <v>18</v>
      </c>
      <c r="B75" s="19">
        <v>46212.0</v>
      </c>
      <c r="C75" s="20">
        <v>0.4305555555555556</v>
      </c>
      <c r="D75" s="18" t="s">
        <v>535</v>
      </c>
      <c r="E75" s="18">
        <v>4.0</v>
      </c>
      <c r="F75" s="18" t="s">
        <v>307</v>
      </c>
    </row>
    <row r="76">
      <c r="D76" s="18" t="s">
        <v>541</v>
      </c>
      <c r="E76" s="18">
        <v>1.0</v>
      </c>
      <c r="F76" s="18" t="s">
        <v>307</v>
      </c>
    </row>
    <row r="77">
      <c r="D77" s="18" t="s">
        <v>541</v>
      </c>
      <c r="E77" s="18">
        <v>1.0</v>
      </c>
      <c r="F77" s="18" t="s">
        <v>546</v>
      </c>
    </row>
    <row r="78">
      <c r="D78" s="18" t="s">
        <v>528</v>
      </c>
      <c r="E78" s="18">
        <v>1.0</v>
      </c>
      <c r="F78" s="18" t="s">
        <v>307</v>
      </c>
    </row>
    <row r="79">
      <c r="D79" s="18" t="s">
        <v>541</v>
      </c>
      <c r="E79" s="18">
        <v>1.0</v>
      </c>
      <c r="F79" s="18" t="s">
        <v>247</v>
      </c>
    </row>
    <row r="80">
      <c r="D80" s="18" t="s">
        <v>535</v>
      </c>
      <c r="E80" s="18">
        <v>4.0</v>
      </c>
      <c r="F80" s="18" t="s">
        <v>469</v>
      </c>
    </row>
    <row r="81">
      <c r="A81" s="18" t="s">
        <v>18</v>
      </c>
      <c r="B81" s="19">
        <v>46212.0</v>
      </c>
      <c r="C81" s="20">
        <v>0.5680555555555555</v>
      </c>
      <c r="D81" s="18" t="s">
        <v>541</v>
      </c>
      <c r="E81" s="18">
        <v>2.0</v>
      </c>
      <c r="F81" s="18" t="s">
        <v>307</v>
      </c>
    </row>
    <row r="82">
      <c r="D82" s="18" t="s">
        <v>535</v>
      </c>
      <c r="E82" s="18">
        <v>3.0</v>
      </c>
      <c r="F82" s="18" t="s">
        <v>307</v>
      </c>
    </row>
    <row r="83">
      <c r="D83" s="18" t="s">
        <v>541</v>
      </c>
      <c r="E83" s="18">
        <v>1.0</v>
      </c>
      <c r="F83" s="18" t="s">
        <v>546</v>
      </c>
    </row>
    <row r="84">
      <c r="D84" s="18" t="s">
        <v>535</v>
      </c>
      <c r="E84" s="18">
        <v>2.0</v>
      </c>
      <c r="F84" s="18" t="s">
        <v>247</v>
      </c>
    </row>
    <row r="85">
      <c r="D85" s="18" t="s">
        <v>541</v>
      </c>
      <c r="E85" s="18">
        <v>1.0</v>
      </c>
      <c r="F85" s="18" t="s">
        <v>247</v>
      </c>
    </row>
    <row r="86">
      <c r="D86" s="18" t="s">
        <v>535</v>
      </c>
      <c r="E86" s="18">
        <v>3.0</v>
      </c>
      <c r="F86" s="18" t="s">
        <v>469</v>
      </c>
    </row>
    <row r="87">
      <c r="D87" s="18" t="s">
        <v>541</v>
      </c>
      <c r="E87" s="18">
        <v>1.0</v>
      </c>
      <c r="F87" s="18" t="s">
        <v>469</v>
      </c>
    </row>
    <row r="88">
      <c r="A88" s="18" t="s">
        <v>28</v>
      </c>
      <c r="B88" s="19">
        <v>46213.0</v>
      </c>
      <c r="C88" s="20">
        <v>0.34930555555555554</v>
      </c>
      <c r="D88" s="18" t="s">
        <v>528</v>
      </c>
      <c r="E88" s="18">
        <v>1.0</v>
      </c>
      <c r="F88" s="18" t="s">
        <v>484</v>
      </c>
    </row>
    <row r="89">
      <c r="D89" s="18" t="s">
        <v>541</v>
      </c>
      <c r="E89" s="18">
        <v>2.0</v>
      </c>
      <c r="F89" s="18" t="s">
        <v>484</v>
      </c>
    </row>
    <row r="90">
      <c r="D90" s="18" t="s">
        <v>541</v>
      </c>
      <c r="E90" s="18">
        <v>1.0</v>
      </c>
      <c r="F90" s="18" t="s">
        <v>256</v>
      </c>
    </row>
    <row r="91">
      <c r="D91" s="18" t="s">
        <v>541</v>
      </c>
      <c r="E91" s="18">
        <v>1.0</v>
      </c>
      <c r="F91" s="18" t="s">
        <v>312</v>
      </c>
    </row>
    <row r="92">
      <c r="D92" s="18" t="s">
        <v>528</v>
      </c>
      <c r="E92" s="18">
        <v>1.0</v>
      </c>
      <c r="F92" s="18" t="s">
        <v>493</v>
      </c>
    </row>
    <row r="93">
      <c r="A93" s="18" t="s">
        <v>28</v>
      </c>
      <c r="B93" s="19">
        <v>46213.0</v>
      </c>
      <c r="C93" s="20">
        <v>0.5208333333333334</v>
      </c>
      <c r="D93" s="18" t="s">
        <v>541</v>
      </c>
      <c r="E93" s="18">
        <v>5.0</v>
      </c>
      <c r="F93" s="18" t="s">
        <v>312</v>
      </c>
    </row>
    <row r="94">
      <c r="D94" s="18" t="s">
        <v>547</v>
      </c>
      <c r="E94" s="18">
        <v>1.0</v>
      </c>
      <c r="F94" s="18" t="s">
        <v>232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4" max="4" width="18.75"/>
    <col customWidth="1" min="5" max="5" width="17.63"/>
    <col customWidth="1" min="6" max="6" width="14.75"/>
    <col customWidth="1" min="7" max="7" width="9.63"/>
    <col customWidth="1" min="8" max="8" width="29.75"/>
    <col customWidth="1" min="9" max="9" width="23.25"/>
    <col customWidth="1" min="10" max="10" width="38.75"/>
  </cols>
  <sheetData>
    <row r="1">
      <c r="A1" s="42" t="s">
        <v>548</v>
      </c>
      <c r="B1" s="42" t="s">
        <v>509</v>
      </c>
      <c r="C1" s="42" t="s">
        <v>549</v>
      </c>
      <c r="D1" s="42" t="s">
        <v>550</v>
      </c>
      <c r="E1" s="42" t="s">
        <v>551</v>
      </c>
      <c r="F1" s="43" t="s">
        <v>552</v>
      </c>
      <c r="G1" s="42" t="s">
        <v>553</v>
      </c>
      <c r="H1" s="42" t="s">
        <v>94</v>
      </c>
      <c r="I1" s="44" t="s">
        <v>42</v>
      </c>
      <c r="J1" s="44" t="s">
        <v>554</v>
      </c>
      <c r="K1" s="45"/>
      <c r="L1" s="45"/>
      <c r="M1" s="45"/>
      <c r="N1" s="45"/>
      <c r="O1" s="45"/>
      <c r="P1" s="45"/>
      <c r="Q1" s="45"/>
      <c r="R1" s="45"/>
      <c r="S1" s="45"/>
      <c r="T1" s="45"/>
      <c r="U1" s="45"/>
      <c r="V1" s="45"/>
      <c r="W1" s="45"/>
      <c r="X1" s="45"/>
      <c r="Y1" s="45"/>
      <c r="Z1" s="45"/>
      <c r="AA1" s="45"/>
    </row>
    <row r="2">
      <c r="A2" s="18" t="s">
        <v>555</v>
      </c>
      <c r="B2" s="19">
        <v>46161.0</v>
      </c>
      <c r="C2" s="18" t="s">
        <v>99</v>
      </c>
      <c r="D2" s="18" t="s">
        <v>101</v>
      </c>
      <c r="F2" s="46">
        <v>1.895</v>
      </c>
      <c r="I2" s="47"/>
      <c r="J2" s="48" t="s">
        <v>556</v>
      </c>
    </row>
    <row r="3">
      <c r="C3" s="18" t="s">
        <v>124</v>
      </c>
      <c r="D3" s="18" t="s">
        <v>557</v>
      </c>
      <c r="E3" s="18" t="s">
        <v>558</v>
      </c>
      <c r="F3" s="41">
        <v>0.125</v>
      </c>
      <c r="I3" s="47"/>
      <c r="J3" s="48" t="s">
        <v>559</v>
      </c>
    </row>
    <row r="4">
      <c r="C4" s="18" t="s">
        <v>142</v>
      </c>
      <c r="D4" s="18" t="s">
        <v>560</v>
      </c>
      <c r="E4" s="18" t="s">
        <v>561</v>
      </c>
      <c r="F4" s="29">
        <v>0.045</v>
      </c>
      <c r="I4" s="47"/>
      <c r="J4" s="48" t="s">
        <v>562</v>
      </c>
    </row>
    <row r="5">
      <c r="C5" s="18" t="s">
        <v>164</v>
      </c>
      <c r="D5" s="18" t="s">
        <v>115</v>
      </c>
      <c r="E5" s="18" t="s">
        <v>563</v>
      </c>
      <c r="F5" s="29">
        <v>0.3675</v>
      </c>
      <c r="I5" s="47"/>
      <c r="J5" s="48" t="s">
        <v>564</v>
      </c>
    </row>
    <row r="6">
      <c r="C6" s="18" t="s">
        <v>183</v>
      </c>
      <c r="D6" s="18" t="s">
        <v>137</v>
      </c>
      <c r="E6" s="18" t="s">
        <v>565</v>
      </c>
      <c r="F6" s="29">
        <v>3.36</v>
      </c>
      <c r="I6" s="47"/>
      <c r="J6" s="48" t="s">
        <v>566</v>
      </c>
    </row>
    <row r="7">
      <c r="C7" s="18" t="s">
        <v>203</v>
      </c>
      <c r="D7" s="18" t="s">
        <v>567</v>
      </c>
      <c r="E7" s="18" t="s">
        <v>568</v>
      </c>
      <c r="F7" s="29">
        <v>0.4</v>
      </c>
      <c r="I7" s="47"/>
      <c r="J7" s="48" t="s">
        <v>569</v>
      </c>
    </row>
    <row r="8">
      <c r="C8" s="18" t="s">
        <v>235</v>
      </c>
      <c r="E8" s="18" t="s">
        <v>570</v>
      </c>
      <c r="F8" s="29">
        <v>0.115</v>
      </c>
      <c r="I8" s="47"/>
      <c r="J8" s="48" t="s">
        <v>571</v>
      </c>
    </row>
    <row r="9">
      <c r="A9" s="21" t="s">
        <v>572</v>
      </c>
      <c r="B9" s="22">
        <v>46161.0</v>
      </c>
      <c r="C9" s="21" t="s">
        <v>99</v>
      </c>
      <c r="D9" s="21" t="s">
        <v>137</v>
      </c>
      <c r="E9" s="21" t="s">
        <v>573</v>
      </c>
      <c r="F9" s="49">
        <v>0.7</v>
      </c>
      <c r="G9" s="21"/>
      <c r="H9" s="21" t="s">
        <v>574</v>
      </c>
      <c r="I9" s="50"/>
      <c r="J9" s="51" t="s">
        <v>575</v>
      </c>
      <c r="K9" s="24"/>
      <c r="L9" s="24"/>
      <c r="M9" s="24"/>
      <c r="N9" s="24"/>
      <c r="O9" s="24"/>
      <c r="P9" s="24"/>
      <c r="Q9" s="24"/>
      <c r="R9" s="24"/>
      <c r="S9" s="24"/>
      <c r="T9" s="24"/>
      <c r="U9" s="24"/>
      <c r="V9" s="24"/>
      <c r="W9" s="24"/>
      <c r="X9" s="24"/>
      <c r="Y9" s="24"/>
      <c r="Z9" s="24"/>
      <c r="AA9" s="24"/>
    </row>
    <row r="10">
      <c r="A10" s="24"/>
      <c r="B10" s="24"/>
      <c r="C10" s="21" t="s">
        <v>124</v>
      </c>
      <c r="D10" s="21" t="s">
        <v>576</v>
      </c>
      <c r="E10" s="24"/>
      <c r="F10" s="49" t="s">
        <v>577</v>
      </c>
      <c r="G10" s="24"/>
      <c r="H10" s="24"/>
      <c r="I10" s="50"/>
      <c r="J10" s="51" t="s">
        <v>578</v>
      </c>
      <c r="K10" s="24"/>
      <c r="L10" s="24"/>
      <c r="M10" s="24"/>
      <c r="N10" s="24"/>
      <c r="O10" s="24"/>
      <c r="P10" s="24"/>
      <c r="Q10" s="24"/>
      <c r="R10" s="24"/>
      <c r="S10" s="24"/>
      <c r="T10" s="24"/>
      <c r="U10" s="24"/>
      <c r="V10" s="24"/>
      <c r="W10" s="24"/>
      <c r="X10" s="24"/>
      <c r="Y10" s="24"/>
      <c r="Z10" s="24"/>
      <c r="AA10" s="24"/>
    </row>
    <row r="11">
      <c r="A11" s="24"/>
      <c r="B11" s="24"/>
      <c r="C11" s="21" t="s">
        <v>142</v>
      </c>
      <c r="D11" s="21" t="s">
        <v>579</v>
      </c>
      <c r="E11" s="21" t="s">
        <v>580</v>
      </c>
      <c r="F11" s="49" t="s">
        <v>577</v>
      </c>
      <c r="G11" s="24"/>
      <c r="H11" s="24"/>
      <c r="I11" s="50"/>
      <c r="J11" s="51" t="s">
        <v>578</v>
      </c>
      <c r="K11" s="24"/>
      <c r="L11" s="24"/>
      <c r="M11" s="24"/>
      <c r="N11" s="24"/>
      <c r="O11" s="24"/>
      <c r="P11" s="24"/>
      <c r="Q11" s="24"/>
      <c r="R11" s="24"/>
      <c r="S11" s="24"/>
      <c r="T11" s="24"/>
      <c r="U11" s="24"/>
      <c r="V11" s="24"/>
      <c r="W11" s="24"/>
      <c r="X11" s="24"/>
      <c r="Y11" s="24"/>
      <c r="Z11" s="24"/>
      <c r="AA11" s="24"/>
    </row>
    <row r="12">
      <c r="A12" s="24"/>
      <c r="B12" s="24"/>
      <c r="C12" s="21" t="s">
        <v>164</v>
      </c>
      <c r="D12" s="21" t="s">
        <v>112</v>
      </c>
      <c r="E12" s="21" t="s">
        <v>581</v>
      </c>
      <c r="F12" s="49">
        <v>0.8</v>
      </c>
      <c r="G12" s="24"/>
      <c r="H12" s="24"/>
      <c r="I12" s="50"/>
      <c r="J12" s="50"/>
      <c r="K12" s="24"/>
      <c r="L12" s="24"/>
      <c r="M12" s="24"/>
      <c r="N12" s="24"/>
      <c r="O12" s="24"/>
      <c r="P12" s="24"/>
      <c r="Q12" s="24"/>
      <c r="R12" s="24"/>
      <c r="S12" s="24"/>
      <c r="T12" s="24"/>
      <c r="U12" s="24"/>
      <c r="V12" s="24"/>
      <c r="W12" s="24"/>
      <c r="X12" s="24"/>
      <c r="Y12" s="24"/>
      <c r="Z12" s="24"/>
      <c r="AA12" s="24"/>
    </row>
    <row r="13">
      <c r="A13" s="24"/>
      <c r="B13" s="24"/>
      <c r="C13" s="21" t="s">
        <v>183</v>
      </c>
      <c r="D13" s="21" t="s">
        <v>582</v>
      </c>
      <c r="E13" s="24"/>
      <c r="F13" s="49">
        <v>0.25</v>
      </c>
      <c r="G13" s="24"/>
      <c r="H13" s="24"/>
      <c r="I13" s="50"/>
      <c r="J13" s="51" t="s">
        <v>583</v>
      </c>
      <c r="K13" s="24"/>
      <c r="L13" s="24"/>
      <c r="M13" s="24"/>
      <c r="N13" s="24"/>
      <c r="O13" s="24"/>
      <c r="P13" s="24"/>
      <c r="Q13" s="24"/>
      <c r="R13" s="24"/>
      <c r="S13" s="24"/>
      <c r="T13" s="24"/>
      <c r="U13" s="24"/>
      <c r="V13" s="24"/>
      <c r="W13" s="24"/>
      <c r="X13" s="24"/>
      <c r="Y13" s="24"/>
      <c r="Z13" s="24"/>
      <c r="AA13" s="24"/>
    </row>
    <row r="14">
      <c r="A14" s="24"/>
      <c r="B14" s="24"/>
      <c r="C14" s="21" t="s">
        <v>203</v>
      </c>
      <c r="D14" s="21" t="s">
        <v>109</v>
      </c>
      <c r="E14" s="24"/>
      <c r="F14" s="49">
        <v>1.62</v>
      </c>
      <c r="G14" s="24"/>
      <c r="H14" s="24"/>
      <c r="I14" s="50"/>
      <c r="J14" s="51" t="s">
        <v>584</v>
      </c>
      <c r="K14" s="24"/>
      <c r="L14" s="24"/>
      <c r="M14" s="24"/>
      <c r="N14" s="24"/>
      <c r="O14" s="24"/>
      <c r="P14" s="24"/>
      <c r="Q14" s="24"/>
      <c r="R14" s="24"/>
      <c r="S14" s="24"/>
      <c r="T14" s="24"/>
      <c r="U14" s="24"/>
      <c r="V14" s="24"/>
      <c r="W14" s="24"/>
      <c r="X14" s="24"/>
      <c r="Y14" s="24"/>
      <c r="Z14" s="24"/>
      <c r="AA14" s="24"/>
    </row>
    <row r="15">
      <c r="A15" s="18" t="s">
        <v>20</v>
      </c>
      <c r="B15" s="19">
        <v>46161.0</v>
      </c>
      <c r="C15" s="18" t="s">
        <v>99</v>
      </c>
      <c r="D15" s="18" t="s">
        <v>585</v>
      </c>
      <c r="E15" s="18" t="s">
        <v>586</v>
      </c>
      <c r="F15" s="29">
        <v>1.8</v>
      </c>
      <c r="I15" s="47"/>
      <c r="J15" s="47"/>
    </row>
    <row r="16">
      <c r="C16" s="18" t="s">
        <v>124</v>
      </c>
      <c r="D16" s="18" t="s">
        <v>101</v>
      </c>
      <c r="E16" s="18" t="s">
        <v>587</v>
      </c>
      <c r="F16" s="29">
        <v>1.19</v>
      </c>
      <c r="I16" s="47"/>
      <c r="J16" s="48" t="s">
        <v>556</v>
      </c>
    </row>
    <row r="17">
      <c r="C17" s="18" t="s">
        <v>142</v>
      </c>
      <c r="D17" s="18" t="s">
        <v>588</v>
      </c>
      <c r="E17" s="18" t="s">
        <v>523</v>
      </c>
      <c r="F17" s="41">
        <v>2.1383</v>
      </c>
      <c r="I17" s="47"/>
      <c r="J17" s="48" t="s">
        <v>589</v>
      </c>
    </row>
    <row r="18">
      <c r="C18" s="18" t="s">
        <v>164</v>
      </c>
      <c r="D18" s="18" t="s">
        <v>590</v>
      </c>
      <c r="E18" s="18" t="s">
        <v>591</v>
      </c>
      <c r="F18" s="41">
        <v>2.7039</v>
      </c>
      <c r="I18" s="47"/>
      <c r="J18" s="48" t="s">
        <v>592</v>
      </c>
    </row>
    <row r="19">
      <c r="C19" s="18" t="s">
        <v>183</v>
      </c>
      <c r="D19" s="18" t="s">
        <v>154</v>
      </c>
      <c r="E19" s="18" t="s">
        <v>593</v>
      </c>
      <c r="F19" s="41">
        <v>1.1928</v>
      </c>
      <c r="I19" s="47"/>
      <c r="J19" s="48" t="s">
        <v>594</v>
      </c>
    </row>
    <row r="20">
      <c r="C20" s="18" t="s">
        <v>203</v>
      </c>
      <c r="D20" s="18" t="s">
        <v>131</v>
      </c>
      <c r="E20" s="18" t="s">
        <v>208</v>
      </c>
      <c r="F20" s="41">
        <v>2.0564999999999998</v>
      </c>
      <c r="I20" s="47"/>
      <c r="J20" s="48" t="s">
        <v>595</v>
      </c>
    </row>
    <row r="21">
      <c r="C21" s="18" t="s">
        <v>235</v>
      </c>
      <c r="D21" s="18" t="s">
        <v>596</v>
      </c>
      <c r="E21" s="18" t="s">
        <v>597</v>
      </c>
      <c r="F21" s="29">
        <v>0.0891</v>
      </c>
      <c r="I21" s="47"/>
      <c r="J21" s="47"/>
    </row>
    <row r="22">
      <c r="C22" s="18" t="s">
        <v>238</v>
      </c>
      <c r="D22" s="18" t="s">
        <v>119</v>
      </c>
      <c r="E22" s="18" t="s">
        <v>598</v>
      </c>
      <c r="F22" s="29">
        <v>0.48</v>
      </c>
      <c r="I22" s="47"/>
      <c r="J22" s="48" t="s">
        <v>599</v>
      </c>
    </row>
    <row r="23">
      <c r="C23" s="18" t="s">
        <v>241</v>
      </c>
      <c r="D23" s="18" t="s">
        <v>600</v>
      </c>
      <c r="E23" s="18" t="s">
        <v>573</v>
      </c>
      <c r="F23" s="29">
        <v>4.32</v>
      </c>
      <c r="G23" s="18"/>
      <c r="H23" s="18" t="s">
        <v>601</v>
      </c>
      <c r="I23" s="47"/>
      <c r="J23" s="48" t="s">
        <v>602</v>
      </c>
    </row>
    <row r="24">
      <c r="C24" s="18" t="s">
        <v>243</v>
      </c>
      <c r="D24" s="18" t="s">
        <v>600</v>
      </c>
      <c r="E24" s="18" t="s">
        <v>603</v>
      </c>
      <c r="F24" s="29">
        <v>2.25</v>
      </c>
      <c r="G24" s="18"/>
      <c r="H24" s="18" t="s">
        <v>604</v>
      </c>
      <c r="I24" s="47"/>
      <c r="J24" s="48" t="s">
        <v>605</v>
      </c>
    </row>
    <row r="25">
      <c r="C25" s="18" t="s">
        <v>246</v>
      </c>
      <c r="D25" s="18" t="s">
        <v>606</v>
      </c>
      <c r="E25" s="18" t="s">
        <v>607</v>
      </c>
      <c r="F25" s="41">
        <v>0.9025</v>
      </c>
      <c r="G25" s="18"/>
      <c r="H25" s="18" t="s">
        <v>608</v>
      </c>
      <c r="I25" s="47"/>
      <c r="J25" s="48" t="s">
        <v>609</v>
      </c>
    </row>
    <row r="26">
      <c r="C26" s="18" t="s">
        <v>249</v>
      </c>
      <c r="D26" s="18" t="s">
        <v>115</v>
      </c>
      <c r="E26" s="18" t="s">
        <v>563</v>
      </c>
      <c r="F26" s="29">
        <v>0.06</v>
      </c>
      <c r="I26" s="47"/>
      <c r="J26" s="47"/>
    </row>
    <row r="27">
      <c r="C27" s="18" t="s">
        <v>252</v>
      </c>
      <c r="D27" s="18" t="s">
        <v>137</v>
      </c>
      <c r="E27" s="18" t="s">
        <v>573</v>
      </c>
      <c r="F27" s="29">
        <v>0.025</v>
      </c>
      <c r="G27" s="18"/>
      <c r="H27" s="18" t="s">
        <v>610</v>
      </c>
      <c r="I27" s="47"/>
      <c r="J27" s="48" t="s">
        <v>611</v>
      </c>
    </row>
    <row r="28">
      <c r="C28" s="18" t="s">
        <v>255</v>
      </c>
      <c r="D28" s="18" t="s">
        <v>612</v>
      </c>
      <c r="E28" s="18" t="s">
        <v>613</v>
      </c>
      <c r="F28" s="41">
        <v>0.2205</v>
      </c>
      <c r="I28" s="47"/>
      <c r="J28" s="48" t="s">
        <v>614</v>
      </c>
    </row>
    <row r="29">
      <c r="C29" s="18" t="s">
        <v>258</v>
      </c>
      <c r="D29" s="18" t="s">
        <v>133</v>
      </c>
      <c r="E29" s="18" t="s">
        <v>615</v>
      </c>
      <c r="F29" s="41">
        <v>0.3478</v>
      </c>
      <c r="I29" s="47"/>
      <c r="J29" s="48" t="s">
        <v>616</v>
      </c>
    </row>
    <row r="30">
      <c r="A30" s="21" t="s">
        <v>11</v>
      </c>
      <c r="B30" s="22">
        <v>46175.0</v>
      </c>
      <c r="C30" s="21" t="s">
        <v>99</v>
      </c>
      <c r="D30" s="21" t="s">
        <v>139</v>
      </c>
      <c r="E30" s="21" t="s">
        <v>447</v>
      </c>
      <c r="F30" s="52">
        <f>1.3*8</f>
        <v>10.4</v>
      </c>
      <c r="G30" s="24"/>
      <c r="H30" s="24"/>
      <c r="I30" s="50"/>
      <c r="J30" s="50"/>
      <c r="K30" s="24"/>
      <c r="L30" s="24"/>
      <c r="M30" s="24"/>
      <c r="N30" s="24"/>
      <c r="O30" s="24"/>
      <c r="P30" s="24"/>
      <c r="Q30" s="24"/>
      <c r="R30" s="24"/>
      <c r="S30" s="24"/>
      <c r="T30" s="24"/>
      <c r="U30" s="24"/>
      <c r="V30" s="24"/>
      <c r="W30" s="24"/>
      <c r="X30" s="24"/>
      <c r="Y30" s="24"/>
      <c r="Z30" s="24"/>
      <c r="AA30" s="24"/>
    </row>
    <row r="31">
      <c r="A31" s="24"/>
      <c r="B31" s="24"/>
      <c r="C31" s="21" t="s">
        <v>124</v>
      </c>
      <c r="D31" s="21" t="s">
        <v>617</v>
      </c>
      <c r="E31" s="21" t="s">
        <v>618</v>
      </c>
      <c r="F31" s="52">
        <f>0.1*0.1*35</f>
        <v>0.35</v>
      </c>
      <c r="G31" s="24"/>
      <c r="H31" s="24"/>
      <c r="I31" s="50"/>
      <c r="J31" s="51" t="s">
        <v>619</v>
      </c>
      <c r="K31" s="24"/>
      <c r="L31" s="24"/>
      <c r="M31" s="24"/>
      <c r="N31" s="24"/>
      <c r="O31" s="24"/>
      <c r="P31" s="24"/>
      <c r="Q31" s="24"/>
      <c r="R31" s="24"/>
      <c r="S31" s="24"/>
      <c r="T31" s="24"/>
      <c r="U31" s="24"/>
      <c r="V31" s="24"/>
      <c r="W31" s="24"/>
      <c r="X31" s="24"/>
      <c r="Y31" s="24"/>
      <c r="Z31" s="24"/>
      <c r="AA31" s="24"/>
    </row>
    <row r="32">
      <c r="A32" s="24"/>
      <c r="B32" s="24"/>
      <c r="C32" s="21" t="s">
        <v>142</v>
      </c>
      <c r="D32" s="21" t="s">
        <v>143</v>
      </c>
      <c r="E32" s="21" t="s">
        <v>620</v>
      </c>
      <c r="F32" s="52">
        <f>0.35*0.65</f>
        <v>0.2275</v>
      </c>
      <c r="G32" s="24"/>
      <c r="H32" s="24"/>
      <c r="I32" s="50"/>
      <c r="J32" s="51" t="s">
        <v>621</v>
      </c>
      <c r="K32" s="24"/>
      <c r="L32" s="24"/>
      <c r="M32" s="24"/>
      <c r="N32" s="24"/>
      <c r="O32" s="24"/>
      <c r="P32" s="24"/>
      <c r="Q32" s="24"/>
      <c r="R32" s="24"/>
      <c r="S32" s="24"/>
      <c r="T32" s="24"/>
      <c r="U32" s="24"/>
      <c r="V32" s="24"/>
      <c r="W32" s="24"/>
      <c r="X32" s="24"/>
      <c r="Y32" s="24"/>
      <c r="Z32" s="24"/>
      <c r="AA32" s="24"/>
    </row>
    <row r="33">
      <c r="A33" s="24"/>
      <c r="B33" s="24"/>
      <c r="C33" s="21" t="s">
        <v>164</v>
      </c>
      <c r="D33" s="21" t="s">
        <v>146</v>
      </c>
      <c r="E33" s="21" t="s">
        <v>622</v>
      </c>
      <c r="F33" s="52">
        <f>0.25*0.25</f>
        <v>0.0625</v>
      </c>
      <c r="G33" s="24"/>
      <c r="H33" s="24"/>
      <c r="I33" s="50"/>
      <c r="J33" s="50"/>
      <c r="K33" s="24"/>
      <c r="L33" s="24"/>
      <c r="M33" s="24"/>
      <c r="N33" s="24"/>
      <c r="O33" s="24"/>
      <c r="P33" s="24"/>
      <c r="Q33" s="24"/>
      <c r="R33" s="24"/>
      <c r="S33" s="24"/>
      <c r="T33" s="24"/>
      <c r="U33" s="24"/>
      <c r="V33" s="24"/>
      <c r="W33" s="24"/>
      <c r="X33" s="24"/>
      <c r="Y33" s="24"/>
      <c r="Z33" s="24"/>
      <c r="AA33" s="24"/>
    </row>
    <row r="34">
      <c r="A34" s="24"/>
      <c r="B34" s="24"/>
      <c r="C34" s="21" t="s">
        <v>183</v>
      </c>
      <c r="D34" s="21" t="s">
        <v>137</v>
      </c>
      <c r="E34" s="24"/>
      <c r="F34" s="52">
        <f>1.5*1.4+4</f>
        <v>6.1</v>
      </c>
      <c r="G34" s="24"/>
      <c r="H34" s="24"/>
      <c r="I34" s="50"/>
      <c r="J34" s="50"/>
      <c r="K34" s="24"/>
      <c r="L34" s="24"/>
      <c r="M34" s="24"/>
      <c r="N34" s="24"/>
      <c r="O34" s="24"/>
      <c r="P34" s="24"/>
      <c r="Q34" s="24"/>
      <c r="R34" s="24"/>
      <c r="S34" s="24"/>
      <c r="T34" s="24"/>
      <c r="U34" s="24"/>
      <c r="V34" s="24"/>
      <c r="W34" s="24"/>
      <c r="X34" s="24"/>
      <c r="Y34" s="24"/>
      <c r="Z34" s="24"/>
      <c r="AA34" s="24"/>
    </row>
    <row r="35">
      <c r="A35" s="24"/>
      <c r="B35" s="24"/>
      <c r="C35" s="21" t="s">
        <v>203</v>
      </c>
      <c r="D35" s="21" t="s">
        <v>623</v>
      </c>
      <c r="E35" s="21" t="s">
        <v>624</v>
      </c>
      <c r="F35" s="52">
        <f>0.1*0.1*22</f>
        <v>0.22</v>
      </c>
      <c r="G35" s="24"/>
      <c r="H35" s="24"/>
      <c r="I35" s="50"/>
      <c r="J35" s="51" t="s">
        <v>625</v>
      </c>
      <c r="K35" s="24"/>
      <c r="L35" s="24"/>
      <c r="M35" s="24"/>
      <c r="N35" s="24"/>
      <c r="O35" s="24"/>
      <c r="P35" s="24"/>
      <c r="Q35" s="24"/>
      <c r="R35" s="24"/>
      <c r="S35" s="24"/>
      <c r="T35" s="24"/>
      <c r="U35" s="24"/>
      <c r="V35" s="24"/>
      <c r="W35" s="24"/>
      <c r="X35" s="24"/>
      <c r="Y35" s="24"/>
      <c r="Z35" s="24"/>
      <c r="AA35" s="24"/>
    </row>
    <row r="36">
      <c r="A36" s="24"/>
      <c r="B36" s="24"/>
      <c r="C36" s="21" t="s">
        <v>235</v>
      </c>
      <c r="D36" s="21" t="s">
        <v>626</v>
      </c>
      <c r="E36" s="21" t="s">
        <v>627</v>
      </c>
      <c r="F36" s="52">
        <f>0.25*0.25*2</f>
        <v>0.125</v>
      </c>
      <c r="G36" s="24"/>
      <c r="H36" s="24"/>
      <c r="I36" s="50"/>
      <c r="J36" s="51" t="s">
        <v>628</v>
      </c>
      <c r="K36" s="24"/>
      <c r="L36" s="24"/>
      <c r="M36" s="24"/>
      <c r="N36" s="24"/>
      <c r="O36" s="24"/>
      <c r="P36" s="24"/>
      <c r="Q36" s="24"/>
      <c r="R36" s="24"/>
      <c r="S36" s="24"/>
      <c r="T36" s="24"/>
      <c r="U36" s="24"/>
      <c r="V36" s="24"/>
      <c r="W36" s="24"/>
      <c r="X36" s="24"/>
      <c r="Y36" s="24"/>
      <c r="Z36" s="24"/>
      <c r="AA36" s="24"/>
    </row>
    <row r="37">
      <c r="A37" s="24"/>
      <c r="B37" s="24"/>
      <c r="C37" s="21" t="s">
        <v>238</v>
      </c>
      <c r="D37" s="21" t="s">
        <v>101</v>
      </c>
      <c r="E37" s="21"/>
      <c r="F37" s="52">
        <f>0.7*0.3</f>
        <v>0.21</v>
      </c>
      <c r="G37" s="24"/>
      <c r="H37" s="24"/>
      <c r="I37" s="50"/>
      <c r="J37" s="51" t="s">
        <v>629</v>
      </c>
      <c r="K37" s="24"/>
      <c r="L37" s="24"/>
      <c r="M37" s="24"/>
      <c r="N37" s="24"/>
      <c r="O37" s="24"/>
      <c r="P37" s="24"/>
      <c r="Q37" s="24"/>
      <c r="R37" s="24"/>
      <c r="S37" s="24"/>
      <c r="T37" s="24"/>
      <c r="U37" s="24"/>
      <c r="V37" s="24"/>
      <c r="W37" s="24"/>
      <c r="X37" s="24"/>
      <c r="Y37" s="24"/>
      <c r="Z37" s="24"/>
      <c r="AA37" s="24"/>
    </row>
    <row r="38">
      <c r="A38" s="24"/>
      <c r="B38" s="24"/>
      <c r="C38" s="21" t="s">
        <v>241</v>
      </c>
      <c r="D38" s="21" t="s">
        <v>167</v>
      </c>
      <c r="E38" s="21" t="s">
        <v>630</v>
      </c>
      <c r="F38" s="52">
        <f>1.1*0.5+0.1*0.2</f>
        <v>0.57</v>
      </c>
      <c r="G38" s="24"/>
      <c r="H38" s="24"/>
      <c r="I38" s="50"/>
      <c r="J38" s="51" t="s">
        <v>631</v>
      </c>
      <c r="K38" s="24"/>
      <c r="L38" s="24"/>
      <c r="M38" s="24"/>
      <c r="N38" s="24"/>
      <c r="O38" s="24"/>
      <c r="P38" s="24"/>
      <c r="Q38" s="24"/>
      <c r="R38" s="24"/>
      <c r="S38" s="24"/>
      <c r="T38" s="24"/>
      <c r="U38" s="24"/>
      <c r="V38" s="24"/>
      <c r="W38" s="24"/>
      <c r="X38" s="24"/>
      <c r="Y38" s="24"/>
      <c r="Z38" s="24"/>
      <c r="AA38" s="24"/>
    </row>
    <row r="39">
      <c r="A39" s="24"/>
      <c r="B39" s="24"/>
      <c r="C39" s="21" t="s">
        <v>243</v>
      </c>
      <c r="D39" s="21" t="s">
        <v>632</v>
      </c>
      <c r="E39" s="21" t="s">
        <v>633</v>
      </c>
      <c r="F39" s="52">
        <f>0.55*0.2</f>
        <v>0.11</v>
      </c>
      <c r="G39" s="24"/>
      <c r="H39" s="24"/>
      <c r="I39" s="50"/>
      <c r="J39" s="51" t="s">
        <v>634</v>
      </c>
      <c r="K39" s="24"/>
      <c r="L39" s="24"/>
      <c r="M39" s="24"/>
      <c r="N39" s="24"/>
      <c r="O39" s="24"/>
      <c r="P39" s="24"/>
      <c r="Q39" s="24"/>
      <c r="R39" s="24"/>
      <c r="S39" s="24"/>
      <c r="T39" s="24"/>
      <c r="U39" s="24"/>
      <c r="V39" s="24"/>
      <c r="W39" s="24"/>
      <c r="X39" s="24"/>
      <c r="Y39" s="24"/>
      <c r="Z39" s="24"/>
      <c r="AA39" s="24"/>
    </row>
    <row r="40">
      <c r="A40" s="24"/>
      <c r="B40" s="24"/>
      <c r="C40" s="21" t="s">
        <v>246</v>
      </c>
      <c r="D40" s="21" t="s">
        <v>115</v>
      </c>
      <c r="E40" s="21" t="s">
        <v>563</v>
      </c>
      <c r="F40" s="52">
        <f>0.25*0.25*2</f>
        <v>0.125</v>
      </c>
      <c r="G40" s="24"/>
      <c r="H40" s="24"/>
      <c r="I40" s="50"/>
      <c r="J40" s="51" t="s">
        <v>635</v>
      </c>
      <c r="K40" s="24"/>
      <c r="L40" s="24"/>
      <c r="M40" s="24"/>
      <c r="N40" s="24"/>
      <c r="O40" s="24"/>
      <c r="P40" s="24"/>
      <c r="Q40" s="24"/>
      <c r="R40" s="24"/>
      <c r="S40" s="24"/>
      <c r="T40" s="24"/>
      <c r="U40" s="24"/>
      <c r="V40" s="24"/>
      <c r="W40" s="24"/>
      <c r="X40" s="24"/>
      <c r="Y40" s="24"/>
      <c r="Z40" s="24"/>
      <c r="AA40" s="24"/>
    </row>
    <row r="41">
      <c r="A41" s="24"/>
      <c r="B41" s="24"/>
      <c r="C41" s="21" t="s">
        <v>249</v>
      </c>
      <c r="D41" s="21" t="s">
        <v>636</v>
      </c>
      <c r="E41" s="24"/>
      <c r="F41" s="52">
        <f>0.6*0.65</f>
        <v>0.39</v>
      </c>
      <c r="G41" s="21"/>
      <c r="H41" s="21" t="s">
        <v>637</v>
      </c>
      <c r="I41" s="50"/>
      <c r="J41" s="53" t="s">
        <v>638</v>
      </c>
      <c r="K41" s="24"/>
      <c r="L41" s="24"/>
      <c r="M41" s="24"/>
      <c r="N41" s="24"/>
      <c r="O41" s="24"/>
      <c r="P41" s="24"/>
      <c r="Q41" s="24"/>
      <c r="R41" s="24"/>
      <c r="S41" s="24"/>
      <c r="T41" s="24"/>
      <c r="U41" s="24"/>
      <c r="V41" s="24"/>
      <c r="W41" s="24"/>
      <c r="X41" s="24"/>
      <c r="Y41" s="24"/>
      <c r="Z41" s="24"/>
      <c r="AA41" s="24"/>
    </row>
    <row r="42">
      <c r="A42" s="24"/>
      <c r="B42" s="24"/>
      <c r="C42" s="21" t="s">
        <v>252</v>
      </c>
      <c r="D42" s="21" t="s">
        <v>636</v>
      </c>
      <c r="E42" s="24"/>
      <c r="F42" s="52">
        <f>0.25*0.25</f>
        <v>0.0625</v>
      </c>
      <c r="G42" s="21"/>
      <c r="H42" s="21" t="s">
        <v>639</v>
      </c>
      <c r="I42" s="50"/>
      <c r="J42" s="51" t="s">
        <v>640</v>
      </c>
      <c r="K42" s="24"/>
      <c r="L42" s="24"/>
      <c r="M42" s="24"/>
      <c r="N42" s="24"/>
      <c r="O42" s="24"/>
      <c r="P42" s="24"/>
      <c r="Q42" s="24"/>
      <c r="R42" s="24"/>
      <c r="S42" s="24"/>
      <c r="T42" s="24"/>
      <c r="U42" s="24"/>
      <c r="V42" s="24"/>
      <c r="W42" s="24"/>
      <c r="X42" s="24"/>
      <c r="Y42" s="24"/>
      <c r="Z42" s="24"/>
      <c r="AA42" s="24"/>
    </row>
    <row r="43">
      <c r="A43" s="24"/>
      <c r="B43" s="24"/>
      <c r="C43" s="21" t="s">
        <v>255</v>
      </c>
      <c r="D43" s="21" t="s">
        <v>641</v>
      </c>
      <c r="E43" s="21" t="s">
        <v>642</v>
      </c>
      <c r="F43" s="49">
        <v>4.0</v>
      </c>
      <c r="G43" s="24"/>
      <c r="H43" s="24"/>
      <c r="I43" s="50"/>
      <c r="J43" s="51" t="s">
        <v>643</v>
      </c>
      <c r="K43" s="24"/>
      <c r="L43" s="24"/>
      <c r="M43" s="24"/>
      <c r="N43" s="24"/>
      <c r="O43" s="24"/>
      <c r="P43" s="24"/>
      <c r="Q43" s="24"/>
      <c r="R43" s="24"/>
      <c r="S43" s="24"/>
      <c r="T43" s="24"/>
      <c r="U43" s="24"/>
      <c r="V43" s="24"/>
      <c r="W43" s="24"/>
      <c r="X43" s="24"/>
      <c r="Y43" s="24"/>
      <c r="Z43" s="24"/>
      <c r="AA43" s="24"/>
    </row>
    <row r="44">
      <c r="A44" s="24"/>
      <c r="B44" s="24"/>
      <c r="C44" s="21" t="s">
        <v>258</v>
      </c>
      <c r="D44" s="21" t="s">
        <v>154</v>
      </c>
      <c r="E44" s="21" t="s">
        <v>593</v>
      </c>
      <c r="F44" s="52">
        <f>0.4*0.3</f>
        <v>0.12</v>
      </c>
      <c r="G44" s="24"/>
      <c r="H44" s="24"/>
      <c r="I44" s="50"/>
      <c r="J44" s="53" t="s">
        <v>644</v>
      </c>
      <c r="K44" s="24"/>
      <c r="L44" s="24"/>
      <c r="M44" s="24"/>
      <c r="N44" s="24"/>
      <c r="O44" s="24"/>
      <c r="P44" s="24"/>
      <c r="Q44" s="24"/>
      <c r="R44" s="24"/>
      <c r="S44" s="24"/>
      <c r="T44" s="24"/>
      <c r="U44" s="24"/>
      <c r="V44" s="24"/>
      <c r="W44" s="24"/>
      <c r="X44" s="24"/>
      <c r="Y44" s="24"/>
      <c r="Z44" s="24"/>
      <c r="AA44" s="24"/>
    </row>
    <row r="45">
      <c r="A45" s="24"/>
      <c r="B45" s="24"/>
      <c r="C45" s="21" t="s">
        <v>260</v>
      </c>
      <c r="D45" s="21" t="s">
        <v>645</v>
      </c>
      <c r="E45" s="21" t="s">
        <v>201</v>
      </c>
      <c r="F45" s="52">
        <f>0.1*0.6*0.3</f>
        <v>0.018</v>
      </c>
      <c r="G45" s="24"/>
      <c r="H45" s="24"/>
      <c r="I45" s="50"/>
      <c r="J45" s="51" t="s">
        <v>646</v>
      </c>
      <c r="K45" s="24"/>
      <c r="L45" s="24"/>
      <c r="M45" s="24"/>
      <c r="N45" s="24"/>
      <c r="O45" s="24"/>
      <c r="P45" s="24"/>
      <c r="Q45" s="24"/>
      <c r="R45" s="24"/>
      <c r="S45" s="24"/>
      <c r="T45" s="24"/>
      <c r="U45" s="24"/>
      <c r="V45" s="24"/>
      <c r="W45" s="24"/>
      <c r="X45" s="24"/>
      <c r="Y45" s="24"/>
      <c r="Z45" s="24"/>
      <c r="AA45" s="24"/>
    </row>
    <row r="46">
      <c r="A46" s="24"/>
      <c r="B46" s="24"/>
      <c r="C46" s="21" t="s">
        <v>262</v>
      </c>
      <c r="D46" s="21" t="s">
        <v>647</v>
      </c>
      <c r="E46" s="21" t="s">
        <v>648</v>
      </c>
      <c r="F46" s="52">
        <f>2*1.6</f>
        <v>3.2</v>
      </c>
      <c r="G46" s="24"/>
      <c r="H46" s="24"/>
      <c r="I46" s="50"/>
      <c r="J46" s="50"/>
      <c r="K46" s="24"/>
      <c r="L46" s="24"/>
      <c r="M46" s="24"/>
      <c r="N46" s="24"/>
      <c r="O46" s="24"/>
      <c r="P46" s="24"/>
      <c r="Q46" s="24"/>
      <c r="R46" s="24"/>
      <c r="S46" s="24"/>
      <c r="T46" s="24"/>
      <c r="U46" s="24"/>
      <c r="V46" s="24"/>
      <c r="W46" s="24"/>
      <c r="X46" s="24"/>
      <c r="Y46" s="24"/>
      <c r="Z46" s="24"/>
      <c r="AA46" s="24"/>
    </row>
    <row r="47">
      <c r="A47" s="24"/>
      <c r="B47" s="24"/>
      <c r="C47" s="21" t="s">
        <v>264</v>
      </c>
      <c r="D47" s="21" t="s">
        <v>585</v>
      </c>
      <c r="E47" s="21" t="s">
        <v>586</v>
      </c>
      <c r="F47" s="52">
        <f>3.66</f>
        <v>3.66</v>
      </c>
      <c r="G47" s="24"/>
      <c r="H47" s="24"/>
      <c r="I47" s="50"/>
      <c r="J47" s="50"/>
      <c r="K47" s="24"/>
      <c r="L47" s="24"/>
      <c r="M47" s="24"/>
      <c r="N47" s="24"/>
      <c r="O47" s="24"/>
      <c r="P47" s="24"/>
      <c r="Q47" s="24"/>
      <c r="R47" s="24"/>
      <c r="S47" s="24"/>
      <c r="T47" s="24"/>
      <c r="U47" s="24"/>
      <c r="V47" s="24"/>
      <c r="W47" s="24"/>
      <c r="X47" s="24"/>
      <c r="Y47" s="24"/>
      <c r="Z47" s="24"/>
      <c r="AA47" s="24"/>
    </row>
    <row r="48">
      <c r="A48" s="24"/>
      <c r="B48" s="24"/>
      <c r="C48" s="21" t="s">
        <v>266</v>
      </c>
      <c r="D48" s="21" t="s">
        <v>137</v>
      </c>
      <c r="E48" s="24"/>
      <c r="F48" s="49">
        <v>4.0</v>
      </c>
      <c r="G48" s="21"/>
      <c r="H48" s="21" t="s">
        <v>601</v>
      </c>
      <c r="I48" s="50"/>
      <c r="J48" s="50"/>
      <c r="K48" s="24"/>
      <c r="L48" s="24"/>
      <c r="M48" s="24"/>
      <c r="N48" s="24"/>
      <c r="O48" s="24"/>
      <c r="P48" s="24"/>
      <c r="Q48" s="24"/>
      <c r="R48" s="24"/>
      <c r="S48" s="24"/>
      <c r="T48" s="24"/>
      <c r="U48" s="24"/>
      <c r="V48" s="24"/>
      <c r="W48" s="24"/>
      <c r="X48" s="24"/>
      <c r="Y48" s="24"/>
      <c r="Z48" s="24"/>
      <c r="AA48" s="24"/>
    </row>
    <row r="49">
      <c r="A49" s="18" t="s">
        <v>149</v>
      </c>
      <c r="B49" s="19">
        <v>46175.0</v>
      </c>
      <c r="C49" s="18" t="s">
        <v>99</v>
      </c>
      <c r="D49" s="18" t="s">
        <v>146</v>
      </c>
      <c r="E49" s="18" t="s">
        <v>622</v>
      </c>
      <c r="F49" s="41">
        <f>0.13*0.13*6</f>
        <v>0.1014</v>
      </c>
      <c r="I49" s="47"/>
      <c r="J49" s="47"/>
    </row>
    <row r="50">
      <c r="C50" s="18" t="s">
        <v>124</v>
      </c>
      <c r="D50" s="18" t="s">
        <v>167</v>
      </c>
      <c r="E50" s="18" t="s">
        <v>630</v>
      </c>
      <c r="F50" s="41">
        <f>0.82*0.55</f>
        <v>0.451</v>
      </c>
      <c r="I50" s="47"/>
      <c r="J50" s="47"/>
    </row>
    <row r="51">
      <c r="C51" s="18" t="s">
        <v>142</v>
      </c>
      <c r="D51" s="18" t="s">
        <v>649</v>
      </c>
      <c r="E51" s="18" t="s">
        <v>417</v>
      </c>
      <c r="F51" s="41">
        <f>0.6*0.35</f>
        <v>0.21</v>
      </c>
      <c r="I51" s="47"/>
      <c r="J51" s="47"/>
    </row>
    <row r="52">
      <c r="C52" s="18" t="s">
        <v>164</v>
      </c>
      <c r="D52" s="18" t="s">
        <v>650</v>
      </c>
      <c r="E52" s="18" t="s">
        <v>435</v>
      </c>
      <c r="F52" s="41">
        <f>0.1*0.1*6</f>
        <v>0.06</v>
      </c>
      <c r="I52" s="47"/>
      <c r="J52" s="47"/>
    </row>
    <row r="53">
      <c r="C53" s="18" t="s">
        <v>183</v>
      </c>
      <c r="D53" s="18" t="s">
        <v>131</v>
      </c>
      <c r="E53" s="18" t="s">
        <v>208</v>
      </c>
      <c r="F53" s="41">
        <f>1.35*1.5</f>
        <v>2.025</v>
      </c>
      <c r="I53" s="47"/>
      <c r="J53" s="47"/>
    </row>
    <row r="54">
      <c r="C54" s="18" t="s">
        <v>203</v>
      </c>
      <c r="D54" s="18" t="s">
        <v>651</v>
      </c>
      <c r="E54" s="18" t="s">
        <v>652</v>
      </c>
      <c r="F54" s="41">
        <f>0.7*0.8+0.45*0.35</f>
        <v>0.7175</v>
      </c>
      <c r="I54" s="47"/>
      <c r="J54" s="48" t="s">
        <v>653</v>
      </c>
    </row>
    <row r="55">
      <c r="C55" s="18" t="s">
        <v>235</v>
      </c>
      <c r="D55" s="18" t="s">
        <v>654</v>
      </c>
      <c r="E55" s="18" t="s">
        <v>655</v>
      </c>
      <c r="F55" s="41">
        <f>0.1*0.1</f>
        <v>0.01</v>
      </c>
      <c r="I55" s="47"/>
      <c r="J55" s="48" t="s">
        <v>656</v>
      </c>
    </row>
    <row r="56">
      <c r="C56" s="18" t="s">
        <v>238</v>
      </c>
      <c r="D56" s="18" t="s">
        <v>115</v>
      </c>
      <c r="E56" s="18" t="s">
        <v>563</v>
      </c>
      <c r="F56" s="41">
        <f>0.2*0.1+ 0.4*0.3+0.4*0.3+0.4*0.3+0.4*0.3+0.46*0.15</f>
        <v>0.569</v>
      </c>
      <c r="I56" s="47"/>
      <c r="J56" s="47"/>
    </row>
    <row r="57">
      <c r="C57" s="18" t="s">
        <v>241</v>
      </c>
      <c r="D57" s="18" t="s">
        <v>143</v>
      </c>
      <c r="E57" s="18" t="s">
        <v>620</v>
      </c>
      <c r="F57" s="29">
        <f>0.7*0.2</f>
        <v>0.14</v>
      </c>
      <c r="I57" s="47"/>
      <c r="J57" s="47"/>
    </row>
    <row r="58">
      <c r="C58" s="18" t="s">
        <v>243</v>
      </c>
      <c r="D58" s="18" t="s">
        <v>596</v>
      </c>
      <c r="E58" s="18" t="s">
        <v>597</v>
      </c>
      <c r="F58" s="41">
        <f>0.7*0.55</f>
        <v>0.385</v>
      </c>
      <c r="I58" s="47"/>
      <c r="J58" s="47"/>
    </row>
    <row r="59">
      <c r="C59" s="18" t="s">
        <v>246</v>
      </c>
      <c r="D59" s="18" t="s">
        <v>154</v>
      </c>
      <c r="E59" s="18" t="s">
        <v>593</v>
      </c>
      <c r="F59" s="41">
        <f>0.4*0.5*2</f>
        <v>0.4</v>
      </c>
      <c r="I59" s="47"/>
      <c r="J59" s="47"/>
    </row>
    <row r="60">
      <c r="C60" s="18" t="s">
        <v>249</v>
      </c>
      <c r="D60" s="18" t="s">
        <v>156</v>
      </c>
      <c r="E60" s="18" t="s">
        <v>657</v>
      </c>
      <c r="F60" s="41">
        <f>0.45*0.35</f>
        <v>0.1575</v>
      </c>
      <c r="I60" s="47"/>
      <c r="J60" s="48" t="s">
        <v>658</v>
      </c>
    </row>
    <row r="61">
      <c r="C61" s="18" t="s">
        <v>252</v>
      </c>
      <c r="D61" s="18" t="s">
        <v>517</v>
      </c>
      <c r="E61" s="18" t="s">
        <v>659</v>
      </c>
      <c r="F61" s="41">
        <f>8*3</f>
        <v>24</v>
      </c>
      <c r="I61" s="47"/>
      <c r="J61" s="48" t="s">
        <v>660</v>
      </c>
    </row>
    <row r="62">
      <c r="C62" s="18" t="s">
        <v>255</v>
      </c>
      <c r="D62" s="18" t="s">
        <v>661</v>
      </c>
      <c r="E62" s="18" t="s">
        <v>662</v>
      </c>
      <c r="F62" s="41">
        <f>0.47*0.28</f>
        <v>0.1316</v>
      </c>
      <c r="I62" s="47"/>
      <c r="J62" s="47"/>
    </row>
    <row r="63">
      <c r="C63" s="18" t="s">
        <v>258</v>
      </c>
      <c r="D63" s="18" t="s">
        <v>663</v>
      </c>
      <c r="E63" s="18" t="s">
        <v>664</v>
      </c>
      <c r="F63" s="41">
        <f>0.6*0.7</f>
        <v>0.42</v>
      </c>
      <c r="I63" s="47"/>
      <c r="J63" s="54" t="s">
        <v>665</v>
      </c>
    </row>
    <row r="64">
      <c r="C64" s="18" t="s">
        <v>260</v>
      </c>
      <c r="D64" s="18" t="s">
        <v>666</v>
      </c>
      <c r="E64" s="18" t="s">
        <v>667</v>
      </c>
      <c r="F64" s="41">
        <f>0.7*0.6*2</f>
        <v>0.84</v>
      </c>
      <c r="I64" s="47"/>
      <c r="J64" s="48" t="s">
        <v>668</v>
      </c>
    </row>
    <row r="65">
      <c r="C65" s="18" t="s">
        <v>262</v>
      </c>
      <c r="D65" s="18" t="s">
        <v>669</v>
      </c>
      <c r="E65" s="18" t="s">
        <v>670</v>
      </c>
      <c r="F65" s="41">
        <f>0.2*0.7</f>
        <v>0.14</v>
      </c>
      <c r="I65" s="47"/>
      <c r="J65" s="48" t="s">
        <v>671</v>
      </c>
    </row>
    <row r="66">
      <c r="C66" s="18" t="s">
        <v>264</v>
      </c>
      <c r="D66" s="18" t="s">
        <v>585</v>
      </c>
      <c r="E66" s="18" t="s">
        <v>586</v>
      </c>
      <c r="F66" s="41">
        <f>4*1.66</f>
        <v>6.64</v>
      </c>
      <c r="I66" s="47"/>
      <c r="J66" s="47"/>
    </row>
    <row r="67">
      <c r="C67" s="18" t="s">
        <v>266</v>
      </c>
      <c r="D67" s="55" t="s">
        <v>672</v>
      </c>
      <c r="E67" s="18" t="s">
        <v>673</v>
      </c>
      <c r="F67" s="41">
        <f>0.45*0.33</f>
        <v>0.1485</v>
      </c>
      <c r="I67" s="47"/>
      <c r="J67" s="48" t="s">
        <v>674</v>
      </c>
    </row>
    <row r="68">
      <c r="C68" s="18" t="s">
        <v>268</v>
      </c>
      <c r="D68" s="18" t="s">
        <v>133</v>
      </c>
      <c r="E68" s="18" t="s">
        <v>615</v>
      </c>
      <c r="F68" s="41">
        <f>1.07*0.45+ 0.6*0.44</f>
        <v>0.7455</v>
      </c>
      <c r="I68" s="47"/>
      <c r="J68" s="47"/>
    </row>
    <row r="69">
      <c r="C69" s="18" t="s">
        <v>270</v>
      </c>
      <c r="D69" s="18" t="s">
        <v>675</v>
      </c>
      <c r="E69" s="18" t="s">
        <v>676</v>
      </c>
      <c r="F69" s="29">
        <f>0.1*0.2</f>
        <v>0.02</v>
      </c>
      <c r="I69" s="47"/>
      <c r="J69" s="48" t="s">
        <v>677</v>
      </c>
    </row>
    <row r="70">
      <c r="C70" s="18" t="s">
        <v>273</v>
      </c>
      <c r="D70" s="18" t="s">
        <v>151</v>
      </c>
      <c r="E70" s="18" t="s">
        <v>678</v>
      </c>
      <c r="F70" s="29">
        <v>2.3</v>
      </c>
      <c r="I70" s="47"/>
      <c r="J70" s="48" t="s">
        <v>679</v>
      </c>
    </row>
    <row r="71">
      <c r="C71" s="18" t="s">
        <v>276</v>
      </c>
      <c r="D71" s="18" t="s">
        <v>680</v>
      </c>
      <c r="F71" s="41">
        <f>0.32*0.32</f>
        <v>0.1024</v>
      </c>
      <c r="I71" s="47"/>
      <c r="J71" s="54" t="s">
        <v>681</v>
      </c>
    </row>
    <row r="72">
      <c r="C72" s="18" t="s">
        <v>279</v>
      </c>
      <c r="D72" s="18" t="s">
        <v>682</v>
      </c>
      <c r="E72" s="18" t="s">
        <v>683</v>
      </c>
      <c r="F72" s="41">
        <f>0.9*0.5*2</f>
        <v>0.9</v>
      </c>
      <c r="I72" s="47"/>
      <c r="J72" s="54" t="s">
        <v>684</v>
      </c>
    </row>
    <row r="73">
      <c r="C73" s="18" t="s">
        <v>281</v>
      </c>
      <c r="D73" s="18" t="s">
        <v>685</v>
      </c>
      <c r="E73" s="18" t="s">
        <v>686</v>
      </c>
      <c r="F73" s="29">
        <v>0.005</v>
      </c>
      <c r="I73" s="47"/>
      <c r="J73" s="48" t="s">
        <v>687</v>
      </c>
    </row>
    <row r="74">
      <c r="A74" s="21" t="s">
        <v>9</v>
      </c>
      <c r="B74" s="22">
        <v>46175.0</v>
      </c>
      <c r="C74" s="21" t="s">
        <v>99</v>
      </c>
      <c r="D74" s="21" t="s">
        <v>137</v>
      </c>
      <c r="E74" s="21" t="s">
        <v>573</v>
      </c>
      <c r="F74" s="52">
        <f>0.55*0.55</f>
        <v>0.3025</v>
      </c>
      <c r="G74" s="24"/>
      <c r="H74" s="24"/>
      <c r="I74" s="50"/>
      <c r="J74" s="51" t="s">
        <v>688</v>
      </c>
      <c r="K74" s="24"/>
      <c r="L74" s="24"/>
      <c r="M74" s="24"/>
      <c r="N74" s="24"/>
      <c r="O74" s="24"/>
      <c r="P74" s="24"/>
      <c r="Q74" s="24"/>
      <c r="R74" s="24"/>
      <c r="S74" s="24"/>
      <c r="T74" s="24"/>
      <c r="U74" s="24"/>
      <c r="V74" s="24"/>
      <c r="W74" s="24"/>
      <c r="X74" s="24"/>
      <c r="Y74" s="24"/>
      <c r="Z74" s="24"/>
      <c r="AA74" s="24"/>
    </row>
    <row r="75">
      <c r="A75" s="24"/>
      <c r="B75" s="24"/>
      <c r="C75" s="21" t="s">
        <v>124</v>
      </c>
      <c r="D75" s="21" t="s">
        <v>689</v>
      </c>
      <c r="E75" s="21" t="s">
        <v>414</v>
      </c>
      <c r="F75" s="52">
        <f>0.5*0.35*4</f>
        <v>0.7</v>
      </c>
      <c r="G75" s="24"/>
      <c r="H75" s="24"/>
      <c r="I75" s="50"/>
      <c r="J75" s="51" t="s">
        <v>690</v>
      </c>
      <c r="K75" s="24"/>
      <c r="L75" s="24"/>
      <c r="M75" s="24"/>
      <c r="N75" s="24"/>
      <c r="O75" s="24"/>
      <c r="P75" s="24"/>
      <c r="Q75" s="24"/>
      <c r="R75" s="24"/>
      <c r="S75" s="24"/>
      <c r="T75" s="24"/>
      <c r="U75" s="24"/>
      <c r="V75" s="24"/>
      <c r="W75" s="24"/>
      <c r="X75" s="24"/>
      <c r="Y75" s="24"/>
      <c r="Z75" s="24"/>
      <c r="AA75" s="24"/>
    </row>
    <row r="76">
      <c r="A76" s="24"/>
      <c r="B76" s="24"/>
      <c r="C76" s="21" t="s">
        <v>142</v>
      </c>
      <c r="D76" s="21" t="s">
        <v>691</v>
      </c>
      <c r="E76" s="24"/>
      <c r="F76" s="52">
        <f>0.15*0.15*2</f>
        <v>0.045</v>
      </c>
      <c r="G76" s="24"/>
      <c r="H76" s="24"/>
      <c r="I76" s="50"/>
      <c r="J76" s="51" t="s">
        <v>692</v>
      </c>
      <c r="K76" s="24"/>
      <c r="L76" s="24"/>
      <c r="M76" s="24"/>
      <c r="N76" s="24"/>
      <c r="O76" s="24"/>
      <c r="P76" s="24"/>
      <c r="Q76" s="24"/>
      <c r="R76" s="24"/>
      <c r="S76" s="24"/>
      <c r="T76" s="24"/>
      <c r="U76" s="24"/>
      <c r="V76" s="24"/>
      <c r="W76" s="24"/>
      <c r="X76" s="24"/>
      <c r="Y76" s="24"/>
      <c r="Z76" s="24"/>
      <c r="AA76" s="24"/>
    </row>
    <row r="77">
      <c r="A77" s="24"/>
      <c r="B77" s="24"/>
      <c r="C77" s="21" t="s">
        <v>164</v>
      </c>
      <c r="D77" s="21" t="s">
        <v>137</v>
      </c>
      <c r="E77" s="21" t="s">
        <v>573</v>
      </c>
      <c r="F77" s="49">
        <v>1.0</v>
      </c>
      <c r="G77" s="21"/>
      <c r="H77" s="21" t="s">
        <v>601</v>
      </c>
      <c r="I77" s="50"/>
      <c r="J77" s="50"/>
      <c r="K77" s="24"/>
      <c r="L77" s="24"/>
      <c r="M77" s="24"/>
      <c r="N77" s="24"/>
      <c r="O77" s="24"/>
      <c r="P77" s="24"/>
      <c r="Q77" s="24"/>
      <c r="R77" s="24"/>
      <c r="S77" s="24"/>
      <c r="T77" s="24"/>
      <c r="U77" s="24"/>
      <c r="V77" s="24"/>
      <c r="W77" s="24"/>
      <c r="X77" s="24"/>
      <c r="Y77" s="24"/>
      <c r="Z77" s="24"/>
      <c r="AA77" s="24"/>
    </row>
    <row r="78">
      <c r="A78" s="18" t="s">
        <v>26</v>
      </c>
      <c r="B78" s="19">
        <v>46177.0</v>
      </c>
      <c r="C78" s="18" t="s">
        <v>99</v>
      </c>
      <c r="D78" s="18" t="s">
        <v>693</v>
      </c>
      <c r="F78" s="41">
        <f>1+1.5</f>
        <v>2.5</v>
      </c>
      <c r="I78" s="47"/>
      <c r="J78" s="48" t="s">
        <v>694</v>
      </c>
    </row>
    <row r="79">
      <c r="C79" s="18" t="s">
        <v>124</v>
      </c>
      <c r="D79" s="18" t="s">
        <v>695</v>
      </c>
      <c r="E79" s="18" t="s">
        <v>696</v>
      </c>
      <c r="F79" s="41">
        <f>0.2*0.2</f>
        <v>0.04</v>
      </c>
      <c r="I79" s="47"/>
      <c r="J79" s="47"/>
    </row>
    <row r="80">
      <c r="C80" s="18" t="s">
        <v>142</v>
      </c>
      <c r="D80" s="18" t="s">
        <v>560</v>
      </c>
      <c r="F80" s="41">
        <f>0.25*0.25</f>
        <v>0.0625</v>
      </c>
      <c r="I80" s="47"/>
      <c r="J80" s="48" t="s">
        <v>697</v>
      </c>
    </row>
    <row r="81">
      <c r="C81" s="18" t="s">
        <v>164</v>
      </c>
      <c r="D81" s="18" t="s">
        <v>588</v>
      </c>
      <c r="E81" s="18" t="s">
        <v>523</v>
      </c>
      <c r="F81" s="41">
        <f>0.5*0.4+0.7*0.6</f>
        <v>0.62</v>
      </c>
      <c r="I81" s="47"/>
      <c r="J81" s="47"/>
    </row>
    <row r="82">
      <c r="C82" s="18" t="s">
        <v>183</v>
      </c>
      <c r="D82" s="21" t="s">
        <v>172</v>
      </c>
      <c r="E82" s="18" t="s">
        <v>698</v>
      </c>
      <c r="F82" s="41">
        <f>0.03*0.03*9</f>
        <v>0.0081</v>
      </c>
      <c r="I82" s="47"/>
      <c r="J82" s="47"/>
    </row>
    <row r="83">
      <c r="C83" s="18" t="s">
        <v>203</v>
      </c>
      <c r="D83" s="18" t="s">
        <v>170</v>
      </c>
      <c r="E83" s="18" t="s">
        <v>529</v>
      </c>
      <c r="F83" s="41">
        <f>1.66*0.66*2</f>
        <v>2.1912</v>
      </c>
      <c r="I83" s="47"/>
      <c r="J83" s="47"/>
    </row>
    <row r="84">
      <c r="C84" s="18" t="s">
        <v>235</v>
      </c>
      <c r="D84" s="18" t="s">
        <v>666</v>
      </c>
      <c r="E84" s="18" t="s">
        <v>667</v>
      </c>
      <c r="F84" s="41">
        <f>0.2*0.2*4</f>
        <v>0.16</v>
      </c>
      <c r="I84" s="47"/>
      <c r="J84" s="47"/>
    </row>
    <row r="85">
      <c r="C85" s="18" t="s">
        <v>238</v>
      </c>
      <c r="D85" s="18" t="s">
        <v>699</v>
      </c>
      <c r="E85" s="18" t="s">
        <v>700</v>
      </c>
      <c r="F85" s="41">
        <f>1*0.4*3</f>
        <v>1.2</v>
      </c>
      <c r="I85" s="47"/>
      <c r="J85" s="48" t="s">
        <v>701</v>
      </c>
    </row>
    <row r="86">
      <c r="C86" s="18" t="s">
        <v>241</v>
      </c>
      <c r="D86" s="18" t="s">
        <v>137</v>
      </c>
      <c r="F86" s="41">
        <f>3.2*2+2.8*1.9*1.5*1.5+2.5*2+1.5*3.5</f>
        <v>28.62</v>
      </c>
      <c r="G86" s="18"/>
      <c r="H86" s="18" t="s">
        <v>639</v>
      </c>
      <c r="I86" s="47"/>
      <c r="J86" s="47"/>
    </row>
    <row r="87">
      <c r="C87" s="18" t="s">
        <v>243</v>
      </c>
      <c r="D87" s="18" t="s">
        <v>137</v>
      </c>
      <c r="F87" s="41">
        <f>1.1*2.7*2</f>
        <v>5.94</v>
      </c>
      <c r="G87" s="18"/>
      <c r="H87" s="18" t="s">
        <v>702</v>
      </c>
      <c r="I87" s="47"/>
      <c r="J87" s="48" t="s">
        <v>703</v>
      </c>
    </row>
    <row r="88">
      <c r="C88" s="18" t="s">
        <v>246</v>
      </c>
      <c r="D88" s="56" t="s">
        <v>704</v>
      </c>
      <c r="E88" s="18" t="s">
        <v>705</v>
      </c>
      <c r="F88" s="41">
        <f>0.05*0.05*3</f>
        <v>0.0075</v>
      </c>
      <c r="I88" s="47"/>
      <c r="J88" s="48" t="s">
        <v>706</v>
      </c>
    </row>
    <row r="89">
      <c r="C89" s="18" t="s">
        <v>249</v>
      </c>
      <c r="D89" s="18" t="s">
        <v>707</v>
      </c>
      <c r="E89" s="18" t="s">
        <v>708</v>
      </c>
      <c r="F89" s="41">
        <f>0.2*0.2</f>
        <v>0.04</v>
      </c>
      <c r="I89" s="47"/>
      <c r="J89" s="48" t="s">
        <v>709</v>
      </c>
    </row>
    <row r="90">
      <c r="C90" s="18" t="s">
        <v>252</v>
      </c>
      <c r="D90" s="18" t="s">
        <v>560</v>
      </c>
      <c r="F90" s="41">
        <f>1.3*0.4</f>
        <v>0.52</v>
      </c>
      <c r="I90" s="57" t="s">
        <v>710</v>
      </c>
      <c r="J90" s="48" t="s">
        <v>711</v>
      </c>
    </row>
    <row r="91">
      <c r="C91" s="18" t="s">
        <v>255</v>
      </c>
      <c r="D91" s="18" t="s">
        <v>632</v>
      </c>
      <c r="E91" s="18" t="s">
        <v>633</v>
      </c>
      <c r="F91" s="41">
        <f>0.3*0.15</f>
        <v>0.045</v>
      </c>
      <c r="I91" s="47"/>
      <c r="J91" s="48" t="s">
        <v>712</v>
      </c>
    </row>
    <row r="92">
      <c r="C92" s="18" t="s">
        <v>258</v>
      </c>
      <c r="E92" s="18" t="s">
        <v>410</v>
      </c>
      <c r="F92" s="41">
        <f>0.06*0.1*0.4</f>
        <v>0.0024</v>
      </c>
      <c r="G92" s="18"/>
      <c r="H92" s="18" t="s">
        <v>713</v>
      </c>
      <c r="I92" s="47"/>
      <c r="J92" s="48" t="s">
        <v>714</v>
      </c>
    </row>
    <row r="93">
      <c r="C93" s="18" t="s">
        <v>260</v>
      </c>
      <c r="D93" s="18" t="s">
        <v>715</v>
      </c>
      <c r="F93" s="41">
        <f>0.1*0.1</f>
        <v>0.01</v>
      </c>
      <c r="I93" s="57" t="s">
        <v>716</v>
      </c>
      <c r="J93" s="58" t="s">
        <v>717</v>
      </c>
    </row>
    <row r="94">
      <c r="C94" s="18" t="s">
        <v>262</v>
      </c>
      <c r="E94" s="18" t="s">
        <v>718</v>
      </c>
      <c r="F94" s="41">
        <f>0.1*0.2</f>
        <v>0.02</v>
      </c>
      <c r="I94" s="47"/>
      <c r="J94" s="48" t="s">
        <v>719</v>
      </c>
    </row>
    <row r="95">
      <c r="A95" s="18"/>
      <c r="B95" s="19"/>
      <c r="C95" s="18" t="s">
        <v>264</v>
      </c>
      <c r="D95" s="18" t="s">
        <v>188</v>
      </c>
      <c r="E95" s="18" t="s">
        <v>720</v>
      </c>
      <c r="F95" s="29">
        <v>49.0</v>
      </c>
      <c r="G95" s="18"/>
      <c r="H95" s="18"/>
      <c r="I95" s="47"/>
      <c r="J95" s="47"/>
    </row>
    <row r="96">
      <c r="A96" s="21" t="s">
        <v>24</v>
      </c>
      <c r="B96" s="22">
        <v>46177.0</v>
      </c>
      <c r="C96" s="21" t="s">
        <v>99</v>
      </c>
      <c r="D96" s="21" t="s">
        <v>137</v>
      </c>
      <c r="E96" s="24"/>
      <c r="F96" s="52">
        <f>1.2*0.5</f>
        <v>0.6</v>
      </c>
      <c r="G96" s="21"/>
      <c r="H96" s="21" t="s">
        <v>194</v>
      </c>
      <c r="I96" s="50"/>
      <c r="J96" s="50"/>
      <c r="K96" s="24"/>
      <c r="L96" s="24"/>
      <c r="M96" s="24"/>
      <c r="N96" s="24"/>
      <c r="O96" s="24"/>
      <c r="P96" s="24"/>
      <c r="Q96" s="24"/>
      <c r="R96" s="24"/>
      <c r="S96" s="24"/>
      <c r="T96" s="24"/>
      <c r="U96" s="24"/>
      <c r="V96" s="24"/>
      <c r="W96" s="24"/>
      <c r="X96" s="24"/>
      <c r="Y96" s="24"/>
      <c r="Z96" s="24"/>
      <c r="AA96" s="24"/>
    </row>
    <row r="97">
      <c r="A97" s="24"/>
      <c r="B97" s="24"/>
      <c r="C97" s="21" t="s">
        <v>124</v>
      </c>
      <c r="D97" s="21" t="s">
        <v>137</v>
      </c>
      <c r="E97" s="24"/>
      <c r="F97" s="52">
        <f>0.9*0.85+0.8*0.1</f>
        <v>0.845</v>
      </c>
      <c r="G97" s="21"/>
      <c r="H97" s="21" t="s">
        <v>639</v>
      </c>
      <c r="I97" s="50"/>
      <c r="J97" s="50"/>
      <c r="K97" s="24"/>
      <c r="L97" s="24"/>
      <c r="M97" s="24"/>
      <c r="N97" s="24"/>
      <c r="O97" s="24"/>
      <c r="P97" s="24"/>
      <c r="Q97" s="24"/>
      <c r="R97" s="24"/>
      <c r="S97" s="24"/>
      <c r="T97" s="24"/>
      <c r="U97" s="24"/>
      <c r="V97" s="24"/>
      <c r="W97" s="24"/>
      <c r="X97" s="24"/>
      <c r="Y97" s="24"/>
      <c r="Z97" s="24"/>
      <c r="AA97" s="24"/>
    </row>
    <row r="98">
      <c r="A98" s="24"/>
      <c r="B98" s="24"/>
      <c r="C98" s="21" t="s">
        <v>142</v>
      </c>
      <c r="D98" s="21" t="s">
        <v>172</v>
      </c>
      <c r="E98" s="21" t="s">
        <v>721</v>
      </c>
      <c r="F98" s="52">
        <f>0.03*0.03*7</f>
        <v>0.0063</v>
      </c>
      <c r="G98" s="24"/>
      <c r="H98" s="24"/>
      <c r="I98" s="50"/>
      <c r="J98" s="50"/>
      <c r="K98" s="24"/>
      <c r="L98" s="24"/>
      <c r="M98" s="24"/>
      <c r="N98" s="24"/>
      <c r="O98" s="24"/>
      <c r="P98" s="24"/>
      <c r="Q98" s="24"/>
      <c r="R98" s="24"/>
      <c r="S98" s="24"/>
      <c r="T98" s="24"/>
      <c r="U98" s="24"/>
      <c r="V98" s="24"/>
      <c r="W98" s="24"/>
      <c r="X98" s="24"/>
      <c r="Y98" s="24"/>
      <c r="Z98" s="24"/>
      <c r="AA98" s="24"/>
    </row>
    <row r="99">
      <c r="A99" s="24"/>
      <c r="B99" s="24"/>
      <c r="C99" s="21" t="s">
        <v>164</v>
      </c>
      <c r="D99" s="21" t="s">
        <v>722</v>
      </c>
      <c r="E99" s="21" t="s">
        <v>723</v>
      </c>
      <c r="F99" s="52">
        <f>0.1*0.1</f>
        <v>0.01</v>
      </c>
      <c r="G99" s="24"/>
      <c r="H99" s="24"/>
      <c r="I99" s="50"/>
      <c r="J99" s="51" t="s">
        <v>724</v>
      </c>
      <c r="K99" s="24"/>
      <c r="L99" s="24"/>
      <c r="M99" s="24"/>
      <c r="N99" s="24"/>
      <c r="O99" s="24"/>
      <c r="P99" s="24"/>
      <c r="Q99" s="24"/>
      <c r="R99" s="24"/>
      <c r="S99" s="24"/>
      <c r="T99" s="24"/>
      <c r="U99" s="24"/>
      <c r="V99" s="24"/>
      <c r="W99" s="24"/>
      <c r="X99" s="24"/>
      <c r="Y99" s="24"/>
      <c r="Z99" s="24"/>
      <c r="AA99" s="24"/>
    </row>
    <row r="100">
      <c r="A100" s="24"/>
      <c r="B100" s="24"/>
      <c r="C100" s="21" t="s">
        <v>183</v>
      </c>
      <c r="D100" s="24"/>
      <c r="E100" s="21" t="s">
        <v>725</v>
      </c>
      <c r="F100" s="52">
        <f>0.15*0.1</f>
        <v>0.015</v>
      </c>
      <c r="G100" s="24"/>
      <c r="H100" s="24"/>
      <c r="I100" s="25" t="s">
        <v>726</v>
      </c>
      <c r="J100" s="51" t="s">
        <v>727</v>
      </c>
      <c r="K100" s="24"/>
      <c r="L100" s="24"/>
      <c r="M100" s="24"/>
      <c r="N100" s="24"/>
      <c r="O100" s="24"/>
      <c r="P100" s="24"/>
      <c r="Q100" s="24"/>
      <c r="R100" s="24"/>
      <c r="S100" s="24"/>
      <c r="T100" s="24"/>
      <c r="U100" s="24"/>
      <c r="V100" s="24"/>
      <c r="W100" s="24"/>
      <c r="X100" s="24"/>
      <c r="Y100" s="24"/>
      <c r="Z100" s="24"/>
      <c r="AA100" s="24"/>
    </row>
    <row r="101">
      <c r="A101" s="24"/>
      <c r="B101" s="24"/>
      <c r="C101" s="21" t="s">
        <v>203</v>
      </c>
      <c r="D101" s="21" t="s">
        <v>666</v>
      </c>
      <c r="E101" s="21" t="s">
        <v>667</v>
      </c>
      <c r="F101" s="52">
        <f>0.1*0.3*3</f>
        <v>0.09</v>
      </c>
      <c r="G101" s="24"/>
      <c r="H101" s="24"/>
      <c r="I101" s="50"/>
      <c r="J101" s="50"/>
      <c r="K101" s="24"/>
      <c r="L101" s="24"/>
      <c r="M101" s="24"/>
      <c r="N101" s="24"/>
      <c r="O101" s="24"/>
      <c r="P101" s="24"/>
      <c r="Q101" s="24"/>
      <c r="R101" s="24"/>
      <c r="S101" s="24"/>
      <c r="T101" s="24"/>
      <c r="U101" s="24"/>
      <c r="V101" s="24"/>
      <c r="W101" s="24"/>
      <c r="X101" s="24"/>
      <c r="Y101" s="24"/>
      <c r="Z101" s="24"/>
      <c r="AA101" s="24"/>
    </row>
    <row r="102">
      <c r="A102" s="24"/>
      <c r="B102" s="24"/>
      <c r="C102" s="21" t="s">
        <v>235</v>
      </c>
      <c r="D102" s="21" t="s">
        <v>131</v>
      </c>
      <c r="E102" s="21" t="s">
        <v>208</v>
      </c>
      <c r="F102" s="52">
        <f>1*0.5+0.2*0.25+0.5*0.25+0.6*0.6+0.6*0.5*2</f>
        <v>1.635</v>
      </c>
      <c r="G102" s="24"/>
      <c r="H102" s="24"/>
      <c r="I102" s="50"/>
      <c r="J102" s="50"/>
      <c r="K102" s="24"/>
      <c r="L102" s="24"/>
      <c r="M102" s="24"/>
      <c r="N102" s="24"/>
      <c r="O102" s="24"/>
      <c r="P102" s="24"/>
      <c r="Q102" s="24"/>
      <c r="R102" s="24"/>
      <c r="S102" s="24"/>
      <c r="T102" s="24"/>
      <c r="U102" s="24"/>
      <c r="V102" s="24"/>
      <c r="W102" s="24"/>
      <c r="X102" s="24"/>
      <c r="Y102" s="24"/>
      <c r="Z102" s="24"/>
      <c r="AA102" s="24"/>
    </row>
    <row r="103">
      <c r="A103" s="24"/>
      <c r="B103" s="24"/>
      <c r="C103" s="21" t="s">
        <v>238</v>
      </c>
      <c r="D103" s="21" t="s">
        <v>560</v>
      </c>
      <c r="E103" s="24"/>
      <c r="F103" s="52">
        <f>0.25*0.3</f>
        <v>0.075</v>
      </c>
      <c r="G103" s="24"/>
      <c r="H103" s="24"/>
      <c r="I103" s="25" t="s">
        <v>728</v>
      </c>
      <c r="J103" s="51" t="s">
        <v>729</v>
      </c>
      <c r="K103" s="24"/>
      <c r="L103" s="24"/>
      <c r="M103" s="24"/>
      <c r="N103" s="24"/>
      <c r="O103" s="24"/>
      <c r="P103" s="24"/>
      <c r="Q103" s="24"/>
      <c r="R103" s="24"/>
      <c r="S103" s="24"/>
      <c r="T103" s="24"/>
      <c r="U103" s="24"/>
      <c r="V103" s="24"/>
      <c r="W103" s="24"/>
      <c r="X103" s="24"/>
      <c r="Y103" s="24"/>
      <c r="Z103" s="24"/>
      <c r="AA103" s="24"/>
    </row>
    <row r="104">
      <c r="A104" s="24"/>
      <c r="B104" s="24"/>
      <c r="C104" s="21" t="s">
        <v>241</v>
      </c>
      <c r="D104" s="21" t="s">
        <v>137</v>
      </c>
      <c r="E104" s="24"/>
      <c r="F104" s="52">
        <f>0.6*0.1*2+0.65*1.4+0.2*0.2+1.25*0.9</f>
        <v>2.195</v>
      </c>
      <c r="G104" s="21"/>
      <c r="H104" s="21" t="s">
        <v>730</v>
      </c>
      <c r="I104" s="50"/>
      <c r="J104" s="50"/>
      <c r="K104" s="24"/>
      <c r="L104" s="24"/>
      <c r="M104" s="24"/>
      <c r="N104" s="24"/>
      <c r="O104" s="24"/>
      <c r="P104" s="24"/>
      <c r="Q104" s="24"/>
      <c r="R104" s="24"/>
      <c r="S104" s="24"/>
      <c r="T104" s="24"/>
      <c r="U104" s="24"/>
      <c r="V104" s="24"/>
      <c r="W104" s="24"/>
      <c r="X104" s="24"/>
      <c r="Y104" s="24"/>
      <c r="Z104" s="24"/>
      <c r="AA104" s="24"/>
    </row>
    <row r="105">
      <c r="A105" s="24"/>
      <c r="B105" s="24"/>
      <c r="C105" s="21" t="s">
        <v>243</v>
      </c>
      <c r="D105" s="24"/>
      <c r="E105" s="21" t="s">
        <v>731</v>
      </c>
      <c r="F105" s="52">
        <f>0.65*0.6*0.5</f>
        <v>0.195</v>
      </c>
      <c r="G105" s="24"/>
      <c r="H105" s="24"/>
      <c r="I105" s="50"/>
      <c r="J105" s="51" t="s">
        <v>732</v>
      </c>
      <c r="K105" s="24"/>
      <c r="L105" s="24"/>
      <c r="M105" s="24"/>
      <c r="N105" s="24"/>
      <c r="O105" s="24"/>
      <c r="P105" s="24"/>
      <c r="Q105" s="24"/>
      <c r="R105" s="24"/>
      <c r="S105" s="24"/>
      <c r="T105" s="24"/>
      <c r="U105" s="24"/>
      <c r="V105" s="24"/>
      <c r="W105" s="24"/>
      <c r="X105" s="24"/>
      <c r="Y105" s="24"/>
      <c r="Z105" s="24"/>
      <c r="AA105" s="24"/>
    </row>
    <row r="106">
      <c r="A106" s="24"/>
      <c r="B106" s="24"/>
      <c r="C106" s="21" t="s">
        <v>246</v>
      </c>
      <c r="D106" s="24"/>
      <c r="E106" s="21" t="s">
        <v>733</v>
      </c>
      <c r="F106" s="49">
        <v>0.005</v>
      </c>
      <c r="G106" s="24"/>
      <c r="H106" s="24"/>
      <c r="I106" s="50"/>
      <c r="J106" s="50"/>
      <c r="K106" s="24"/>
      <c r="L106" s="24"/>
      <c r="M106" s="24"/>
      <c r="N106" s="24"/>
      <c r="O106" s="24"/>
      <c r="P106" s="24"/>
      <c r="Q106" s="24"/>
      <c r="R106" s="24"/>
      <c r="S106" s="24"/>
      <c r="T106" s="24"/>
      <c r="U106" s="24"/>
      <c r="V106" s="24"/>
      <c r="W106" s="24"/>
      <c r="X106" s="24"/>
      <c r="Y106" s="24"/>
      <c r="Z106" s="24"/>
      <c r="AA106" s="24"/>
    </row>
    <row r="107">
      <c r="A107" s="24"/>
      <c r="B107" s="24"/>
      <c r="C107" s="21" t="s">
        <v>249</v>
      </c>
      <c r="D107" s="24"/>
      <c r="E107" s="21" t="s">
        <v>734</v>
      </c>
      <c r="F107" s="52">
        <f>1.3*1.6</f>
        <v>2.08</v>
      </c>
      <c r="G107" s="24"/>
      <c r="H107" s="24"/>
      <c r="I107" s="50"/>
      <c r="J107" s="51" t="s">
        <v>735</v>
      </c>
      <c r="K107" s="24"/>
      <c r="L107" s="24"/>
      <c r="M107" s="24"/>
      <c r="N107" s="24"/>
      <c r="O107" s="24"/>
      <c r="P107" s="24"/>
      <c r="Q107" s="24"/>
      <c r="R107" s="24"/>
      <c r="S107" s="24"/>
      <c r="T107" s="24"/>
      <c r="U107" s="24"/>
      <c r="V107" s="24"/>
      <c r="W107" s="24"/>
      <c r="X107" s="24"/>
      <c r="Y107" s="24"/>
      <c r="Z107" s="24"/>
      <c r="AA107" s="24"/>
    </row>
    <row r="108">
      <c r="A108" s="24"/>
      <c r="B108" s="24"/>
      <c r="C108" s="21" t="s">
        <v>252</v>
      </c>
      <c r="D108" s="21" t="s">
        <v>170</v>
      </c>
      <c r="E108" s="21" t="s">
        <v>529</v>
      </c>
      <c r="F108" s="52">
        <f>0.55*0.7*0.5+4.7*0.5+4.7*0.3+1+0.5*0.7+1.2*2</f>
        <v>7.7025</v>
      </c>
      <c r="G108" s="24"/>
      <c r="H108" s="24"/>
      <c r="I108" s="50"/>
      <c r="J108" s="50"/>
      <c r="K108" s="24"/>
      <c r="L108" s="24"/>
      <c r="M108" s="24"/>
      <c r="N108" s="24"/>
      <c r="O108" s="24"/>
      <c r="P108" s="24"/>
      <c r="Q108" s="24"/>
      <c r="R108" s="24"/>
      <c r="S108" s="24"/>
      <c r="T108" s="24"/>
      <c r="U108" s="24"/>
      <c r="V108" s="24"/>
      <c r="W108" s="24"/>
      <c r="X108" s="24"/>
      <c r="Y108" s="24"/>
      <c r="Z108" s="24"/>
      <c r="AA108" s="24"/>
    </row>
    <row r="109">
      <c r="A109" s="24"/>
      <c r="B109" s="24"/>
      <c r="C109" s="21" t="s">
        <v>255</v>
      </c>
      <c r="D109" s="21" t="s">
        <v>663</v>
      </c>
      <c r="E109" s="21" t="s">
        <v>664</v>
      </c>
      <c r="F109" s="49">
        <v>4.0</v>
      </c>
      <c r="G109" s="24"/>
      <c r="H109" s="24"/>
      <c r="I109" s="50"/>
      <c r="J109" s="51" t="s">
        <v>736</v>
      </c>
      <c r="K109" s="24"/>
      <c r="L109" s="24"/>
      <c r="M109" s="24"/>
      <c r="N109" s="24"/>
      <c r="O109" s="24"/>
      <c r="P109" s="24"/>
      <c r="Q109" s="24"/>
      <c r="R109" s="24"/>
      <c r="S109" s="24"/>
      <c r="T109" s="24"/>
      <c r="U109" s="24"/>
      <c r="V109" s="24"/>
      <c r="W109" s="24"/>
      <c r="X109" s="24"/>
      <c r="Y109" s="24"/>
      <c r="Z109" s="24"/>
      <c r="AA109" s="24"/>
    </row>
    <row r="110">
      <c r="A110" s="24"/>
      <c r="B110" s="24"/>
      <c r="C110" s="21" t="s">
        <v>258</v>
      </c>
      <c r="D110" s="24"/>
      <c r="E110" s="21" t="s">
        <v>737</v>
      </c>
      <c r="F110" s="52">
        <f>0.9*0.6</f>
        <v>0.54</v>
      </c>
      <c r="G110" s="24"/>
      <c r="H110" s="24"/>
      <c r="I110" s="25" t="s">
        <v>738</v>
      </c>
      <c r="J110" s="53" t="s">
        <v>739</v>
      </c>
      <c r="K110" s="24"/>
      <c r="L110" s="24"/>
      <c r="M110" s="24"/>
      <c r="N110" s="24"/>
      <c r="O110" s="24"/>
      <c r="P110" s="24"/>
      <c r="Q110" s="24"/>
      <c r="R110" s="24"/>
      <c r="S110" s="24"/>
      <c r="T110" s="24"/>
      <c r="U110" s="24"/>
      <c r="V110" s="24"/>
      <c r="W110" s="24"/>
      <c r="X110" s="24"/>
      <c r="Y110" s="24"/>
      <c r="Z110" s="24"/>
      <c r="AA110" s="24"/>
    </row>
    <row r="111">
      <c r="A111" s="24"/>
      <c r="B111" s="24"/>
      <c r="C111" s="21" t="s">
        <v>260</v>
      </c>
      <c r="D111" s="21" t="s">
        <v>167</v>
      </c>
      <c r="E111" s="21" t="s">
        <v>630</v>
      </c>
      <c r="F111" s="52">
        <f>0.5*0.5</f>
        <v>0.25</v>
      </c>
      <c r="G111" s="24"/>
      <c r="H111" s="24"/>
      <c r="I111" s="50"/>
      <c r="J111" s="51" t="s">
        <v>740</v>
      </c>
      <c r="K111" s="24"/>
      <c r="L111" s="24"/>
      <c r="M111" s="24"/>
      <c r="N111" s="24"/>
      <c r="O111" s="24"/>
      <c r="P111" s="24"/>
      <c r="Q111" s="24"/>
      <c r="R111" s="24"/>
      <c r="S111" s="24"/>
      <c r="T111" s="24"/>
      <c r="U111" s="24"/>
      <c r="V111" s="24"/>
      <c r="W111" s="24"/>
      <c r="X111" s="24"/>
      <c r="Y111" s="24"/>
      <c r="Z111" s="24"/>
      <c r="AA111" s="24"/>
    </row>
    <row r="112">
      <c r="A112" s="24"/>
      <c r="B112" s="24"/>
      <c r="C112" s="21" t="s">
        <v>262</v>
      </c>
      <c r="D112" s="21" t="s">
        <v>521</v>
      </c>
      <c r="E112" s="24"/>
      <c r="F112" s="49">
        <v>4.0</v>
      </c>
      <c r="G112" s="24"/>
      <c r="H112" s="24"/>
      <c r="I112" s="50"/>
      <c r="J112" s="50"/>
      <c r="K112" s="24"/>
      <c r="L112" s="24"/>
      <c r="M112" s="24"/>
      <c r="N112" s="24"/>
      <c r="O112" s="24"/>
      <c r="P112" s="24"/>
      <c r="Q112" s="24"/>
      <c r="R112" s="24"/>
      <c r="S112" s="24"/>
      <c r="T112" s="24"/>
      <c r="U112" s="24"/>
      <c r="V112" s="24"/>
      <c r="W112" s="24"/>
      <c r="X112" s="24"/>
      <c r="Y112" s="24"/>
      <c r="Z112" s="24"/>
      <c r="AA112" s="24"/>
    </row>
    <row r="113">
      <c r="A113" s="18" t="s">
        <v>28</v>
      </c>
      <c r="B113" s="19">
        <v>46177.0</v>
      </c>
      <c r="C113" s="18" t="s">
        <v>99</v>
      </c>
      <c r="D113" s="18" t="s">
        <v>741</v>
      </c>
      <c r="F113" s="41">
        <f>7*1.5</f>
        <v>10.5</v>
      </c>
      <c r="I113" s="47"/>
      <c r="J113" s="48" t="s">
        <v>742</v>
      </c>
    </row>
    <row r="114">
      <c r="C114" s="18" t="s">
        <v>124</v>
      </c>
      <c r="D114" s="18" t="s">
        <v>743</v>
      </c>
      <c r="E114" s="18" t="s">
        <v>744</v>
      </c>
      <c r="F114" s="41">
        <f>0.1*0.1*4</f>
        <v>0.04</v>
      </c>
      <c r="I114" s="47"/>
      <c r="J114" s="48" t="s">
        <v>745</v>
      </c>
    </row>
    <row r="115">
      <c r="C115" s="18" t="s">
        <v>142</v>
      </c>
      <c r="D115" s="18" t="s">
        <v>746</v>
      </c>
      <c r="E115" s="18" t="s">
        <v>747</v>
      </c>
      <c r="F115" s="41">
        <f>0.2*0.2*2+0.4*0.4</f>
        <v>0.24</v>
      </c>
      <c r="I115" s="47"/>
      <c r="J115" s="48" t="s">
        <v>748</v>
      </c>
    </row>
    <row r="116">
      <c r="C116" s="18" t="s">
        <v>164</v>
      </c>
      <c r="E116" s="18" t="s">
        <v>410</v>
      </c>
      <c r="F116" s="29">
        <f>0.1*0.1*3</f>
        <v>0.03</v>
      </c>
      <c r="G116" s="18"/>
      <c r="H116" s="18" t="s">
        <v>749</v>
      </c>
      <c r="I116" s="47"/>
      <c r="J116" s="48" t="s">
        <v>750</v>
      </c>
    </row>
    <row r="117">
      <c r="C117" s="18" t="s">
        <v>183</v>
      </c>
      <c r="D117" s="18" t="s">
        <v>612</v>
      </c>
      <c r="E117" s="18" t="s">
        <v>613</v>
      </c>
      <c r="F117" s="41">
        <f>0.3*0.3</f>
        <v>0.09</v>
      </c>
      <c r="I117" s="47"/>
      <c r="J117" s="47"/>
    </row>
    <row r="118">
      <c r="C118" s="18" t="s">
        <v>203</v>
      </c>
      <c r="D118" s="18" t="s">
        <v>115</v>
      </c>
      <c r="E118" s="18" t="s">
        <v>563</v>
      </c>
      <c r="F118" s="41">
        <f>0.5*0.2</f>
        <v>0.1</v>
      </c>
      <c r="I118" s="47"/>
      <c r="J118" s="47"/>
    </row>
    <row r="119">
      <c r="C119" s="18" t="s">
        <v>235</v>
      </c>
      <c r="D119" s="18" t="s">
        <v>751</v>
      </c>
      <c r="F119" s="41">
        <f>0.1*0.1</f>
        <v>0.01</v>
      </c>
      <c r="I119" s="47"/>
      <c r="J119" s="48" t="s">
        <v>752</v>
      </c>
    </row>
    <row r="120">
      <c r="C120" s="18" t="s">
        <v>238</v>
      </c>
      <c r="D120" s="18" t="s">
        <v>119</v>
      </c>
      <c r="E120" s="18" t="s">
        <v>598</v>
      </c>
      <c r="F120" s="41">
        <f>0.5*0.18</f>
        <v>0.09</v>
      </c>
      <c r="I120" s="47"/>
      <c r="J120" s="48" t="s">
        <v>753</v>
      </c>
    </row>
    <row r="121">
      <c r="C121" s="18" t="s">
        <v>241</v>
      </c>
      <c r="D121" s="18" t="s">
        <v>137</v>
      </c>
      <c r="F121" s="41">
        <f>1*0.6</f>
        <v>0.6</v>
      </c>
      <c r="G121" s="18"/>
      <c r="H121" s="18" t="s">
        <v>754</v>
      </c>
      <c r="I121" s="47"/>
      <c r="J121" s="48" t="s">
        <v>755</v>
      </c>
    </row>
    <row r="122">
      <c r="C122" s="18" t="s">
        <v>243</v>
      </c>
      <c r="D122" s="18" t="s">
        <v>137</v>
      </c>
      <c r="F122" s="41">
        <f>1*0.2+0.7*0.75</f>
        <v>0.725</v>
      </c>
      <c r="G122" s="18"/>
      <c r="H122" s="18" t="s">
        <v>730</v>
      </c>
      <c r="I122" s="47"/>
      <c r="J122" s="47"/>
    </row>
    <row r="123">
      <c r="C123" s="18" t="s">
        <v>246</v>
      </c>
      <c r="D123" s="18" t="s">
        <v>645</v>
      </c>
      <c r="E123" s="18" t="s">
        <v>201</v>
      </c>
      <c r="F123" s="29">
        <v>2.0</v>
      </c>
      <c r="I123" s="47"/>
      <c r="J123" s="48" t="s">
        <v>756</v>
      </c>
    </row>
    <row r="124">
      <c r="C124" s="18" t="s">
        <v>249</v>
      </c>
      <c r="D124" s="18" t="s">
        <v>137</v>
      </c>
      <c r="F124" s="41">
        <f>0.8*0.2</f>
        <v>0.16</v>
      </c>
      <c r="G124" s="18"/>
      <c r="H124" s="18" t="s">
        <v>194</v>
      </c>
      <c r="I124" s="47"/>
      <c r="J124" s="47"/>
    </row>
    <row r="125">
      <c r="C125" s="18" t="s">
        <v>252</v>
      </c>
      <c r="D125" s="18" t="s">
        <v>137</v>
      </c>
      <c r="F125" s="41">
        <f>2*2</f>
        <v>4</v>
      </c>
      <c r="G125" s="18"/>
      <c r="H125" s="18" t="s">
        <v>639</v>
      </c>
      <c r="I125" s="47"/>
      <c r="J125" s="47"/>
    </row>
    <row r="126">
      <c r="C126" s="18" t="s">
        <v>255</v>
      </c>
      <c r="D126" s="18" t="s">
        <v>632</v>
      </c>
      <c r="E126" s="18" t="s">
        <v>633</v>
      </c>
      <c r="F126" s="41">
        <f>0.15*0.15*4</f>
        <v>0.09</v>
      </c>
      <c r="I126" s="47"/>
      <c r="J126" s="48" t="s">
        <v>757</v>
      </c>
    </row>
    <row r="127">
      <c r="C127" s="18" t="s">
        <v>258</v>
      </c>
      <c r="E127" s="18" t="s">
        <v>410</v>
      </c>
      <c r="F127" s="41">
        <f>0.25*0.2</f>
        <v>0.05</v>
      </c>
      <c r="G127" s="18"/>
      <c r="H127" s="18" t="s">
        <v>758</v>
      </c>
      <c r="I127" s="47"/>
      <c r="J127" s="48" t="s">
        <v>759</v>
      </c>
    </row>
    <row r="128">
      <c r="C128" s="18" t="s">
        <v>260</v>
      </c>
      <c r="D128" s="18" t="s">
        <v>760</v>
      </c>
      <c r="F128" s="41">
        <f>0.1*0.1*7</f>
        <v>0.07</v>
      </c>
      <c r="I128" s="47"/>
      <c r="J128" s="54" t="s">
        <v>761</v>
      </c>
    </row>
    <row r="129">
      <c r="A129" s="21" t="s">
        <v>14</v>
      </c>
      <c r="B129" s="22">
        <v>46181.0</v>
      </c>
      <c r="C129" s="21" t="s">
        <v>99</v>
      </c>
      <c r="D129" s="21" t="s">
        <v>762</v>
      </c>
      <c r="E129" s="21" t="s">
        <v>763</v>
      </c>
      <c r="F129" s="49">
        <f>2*1.3</f>
        <v>2.6</v>
      </c>
      <c r="G129" s="24"/>
      <c r="H129" s="24"/>
      <c r="I129" s="50"/>
      <c r="J129" s="50"/>
      <c r="K129" s="24"/>
      <c r="L129" s="24"/>
      <c r="M129" s="24"/>
      <c r="N129" s="24"/>
      <c r="O129" s="24"/>
      <c r="P129" s="24"/>
      <c r="Q129" s="24"/>
      <c r="R129" s="24"/>
      <c r="S129" s="24"/>
      <c r="T129" s="24"/>
      <c r="U129" s="24"/>
      <c r="V129" s="24"/>
      <c r="W129" s="24"/>
      <c r="X129" s="24"/>
      <c r="Y129" s="24"/>
      <c r="Z129" s="24"/>
      <c r="AA129" s="24"/>
    </row>
    <row r="130">
      <c r="A130" s="24"/>
      <c r="B130" s="24"/>
      <c r="C130" s="21" t="s">
        <v>124</v>
      </c>
      <c r="D130" s="21" t="s">
        <v>764</v>
      </c>
      <c r="E130" s="21" t="s">
        <v>765</v>
      </c>
      <c r="F130" s="52">
        <f>0.4*0.15</f>
        <v>0.06</v>
      </c>
      <c r="G130" s="24"/>
      <c r="H130" s="24"/>
      <c r="I130" s="50"/>
      <c r="J130" s="51" t="s">
        <v>766</v>
      </c>
      <c r="K130" s="24"/>
      <c r="L130" s="24"/>
      <c r="M130" s="24"/>
      <c r="N130" s="24"/>
      <c r="O130" s="24"/>
      <c r="P130" s="24"/>
      <c r="Q130" s="24"/>
      <c r="R130" s="24"/>
      <c r="S130" s="24"/>
      <c r="T130" s="24"/>
      <c r="U130" s="24"/>
      <c r="V130" s="24"/>
      <c r="W130" s="24"/>
      <c r="X130" s="24"/>
      <c r="Y130" s="24"/>
      <c r="Z130" s="24"/>
      <c r="AA130" s="24"/>
    </row>
    <row r="131">
      <c r="A131" s="24"/>
      <c r="B131" s="24"/>
      <c r="C131" s="21" t="s">
        <v>142</v>
      </c>
      <c r="D131" s="24"/>
      <c r="E131" s="21" t="s">
        <v>199</v>
      </c>
      <c r="F131" s="52">
        <f>0.1*0.1*2</f>
        <v>0.02</v>
      </c>
      <c r="G131" s="24"/>
      <c r="H131" s="24"/>
      <c r="I131" s="50"/>
      <c r="J131" s="51" t="s">
        <v>767</v>
      </c>
      <c r="K131" s="24"/>
      <c r="L131" s="24"/>
      <c r="M131" s="24"/>
      <c r="N131" s="24"/>
      <c r="O131" s="24"/>
      <c r="P131" s="24"/>
      <c r="Q131" s="24"/>
      <c r="R131" s="24"/>
      <c r="S131" s="24"/>
      <c r="T131" s="24"/>
      <c r="U131" s="24"/>
      <c r="V131" s="24"/>
      <c r="W131" s="24"/>
      <c r="X131" s="24"/>
      <c r="Y131" s="24"/>
      <c r="Z131" s="24"/>
      <c r="AA131" s="24"/>
    </row>
    <row r="132">
      <c r="A132" s="24"/>
      <c r="B132" s="24"/>
      <c r="C132" s="21" t="s">
        <v>164</v>
      </c>
      <c r="D132" s="21" t="s">
        <v>131</v>
      </c>
      <c r="E132" s="21" t="s">
        <v>208</v>
      </c>
      <c r="F132" s="52">
        <f>0.85*0.5+0.65*0.3+0.3*0.25+0.2*0.2</f>
        <v>0.735</v>
      </c>
      <c r="G132" s="24"/>
      <c r="H132" s="24"/>
      <c r="I132" s="50"/>
      <c r="J132" s="50"/>
      <c r="K132" s="24"/>
      <c r="L132" s="24"/>
      <c r="M132" s="24"/>
      <c r="N132" s="24"/>
      <c r="O132" s="24"/>
      <c r="P132" s="24"/>
      <c r="Q132" s="24"/>
      <c r="R132" s="24"/>
      <c r="S132" s="24"/>
      <c r="T132" s="24"/>
      <c r="U132" s="24"/>
      <c r="V132" s="24"/>
      <c r="W132" s="24"/>
      <c r="X132" s="24"/>
      <c r="Y132" s="24"/>
      <c r="Z132" s="24"/>
      <c r="AA132" s="24"/>
    </row>
    <row r="133">
      <c r="A133" s="24"/>
      <c r="B133" s="24"/>
      <c r="C133" s="21" t="s">
        <v>183</v>
      </c>
      <c r="D133" s="21" t="s">
        <v>143</v>
      </c>
      <c r="E133" s="21" t="s">
        <v>620</v>
      </c>
      <c r="F133" s="52">
        <f>0.25*0.25*4</f>
        <v>0.25</v>
      </c>
      <c r="G133" s="24"/>
      <c r="H133" s="24"/>
      <c r="I133" s="50"/>
      <c r="J133" s="51" t="s">
        <v>768</v>
      </c>
      <c r="K133" s="24"/>
      <c r="L133" s="24"/>
      <c r="M133" s="24"/>
      <c r="N133" s="24"/>
      <c r="O133" s="24"/>
      <c r="P133" s="24"/>
      <c r="Q133" s="24"/>
      <c r="R133" s="24"/>
      <c r="S133" s="24"/>
      <c r="T133" s="24"/>
      <c r="U133" s="24"/>
      <c r="V133" s="24"/>
      <c r="W133" s="24"/>
      <c r="X133" s="24"/>
      <c r="Y133" s="24"/>
      <c r="Z133" s="24"/>
      <c r="AA133" s="24"/>
    </row>
    <row r="134">
      <c r="A134" s="24"/>
      <c r="B134" s="24"/>
      <c r="C134" s="21" t="s">
        <v>203</v>
      </c>
      <c r="D134" s="21" t="s">
        <v>769</v>
      </c>
      <c r="E134" s="21" t="s">
        <v>770</v>
      </c>
      <c r="F134" s="52">
        <f>0.1*0.1*3</f>
        <v>0.03</v>
      </c>
      <c r="G134" s="24"/>
      <c r="H134" s="24"/>
      <c r="I134" s="50"/>
      <c r="J134" s="51" t="s">
        <v>771</v>
      </c>
      <c r="K134" s="24"/>
      <c r="L134" s="24"/>
      <c r="M134" s="24"/>
      <c r="N134" s="24"/>
      <c r="O134" s="24"/>
      <c r="P134" s="24"/>
      <c r="Q134" s="24"/>
      <c r="R134" s="24"/>
      <c r="S134" s="24"/>
      <c r="T134" s="24"/>
      <c r="U134" s="24"/>
      <c r="V134" s="24"/>
      <c r="W134" s="24"/>
      <c r="X134" s="24"/>
      <c r="Y134" s="24"/>
      <c r="Z134" s="24"/>
      <c r="AA134" s="24"/>
    </row>
    <row r="135">
      <c r="A135" s="24"/>
      <c r="B135" s="24"/>
      <c r="C135" s="21" t="s">
        <v>235</v>
      </c>
      <c r="D135" s="21" t="s">
        <v>772</v>
      </c>
      <c r="E135" s="21" t="s">
        <v>773</v>
      </c>
      <c r="F135" s="52">
        <f>0.15*0.15*9</f>
        <v>0.2025</v>
      </c>
      <c r="G135" s="24"/>
      <c r="H135" s="24"/>
      <c r="I135" s="50"/>
      <c r="J135" s="51" t="s">
        <v>774</v>
      </c>
      <c r="K135" s="24"/>
      <c r="L135" s="24"/>
      <c r="M135" s="24"/>
      <c r="N135" s="24"/>
      <c r="O135" s="24"/>
      <c r="P135" s="24"/>
      <c r="Q135" s="24"/>
      <c r="R135" s="24"/>
      <c r="S135" s="24"/>
      <c r="T135" s="24"/>
      <c r="U135" s="24"/>
      <c r="V135" s="24"/>
      <c r="W135" s="24"/>
      <c r="X135" s="24"/>
      <c r="Y135" s="24"/>
      <c r="Z135" s="24"/>
      <c r="AA135" s="24"/>
    </row>
    <row r="136">
      <c r="A136" s="24"/>
      <c r="B136" s="24"/>
      <c r="C136" s="21" t="s">
        <v>238</v>
      </c>
      <c r="D136" s="21" t="s">
        <v>775</v>
      </c>
      <c r="E136" s="21" t="s">
        <v>776</v>
      </c>
      <c r="F136" s="52">
        <f>1.15*2.2+(1.15*0.5)*5</f>
        <v>5.405</v>
      </c>
      <c r="G136" s="24"/>
      <c r="H136" s="24"/>
      <c r="I136" s="50"/>
      <c r="J136" s="51" t="s">
        <v>777</v>
      </c>
      <c r="K136" s="24"/>
      <c r="L136" s="24"/>
      <c r="M136" s="24"/>
      <c r="N136" s="24"/>
      <c r="O136" s="24"/>
      <c r="P136" s="24"/>
      <c r="Q136" s="24"/>
      <c r="R136" s="24"/>
      <c r="S136" s="24"/>
      <c r="T136" s="24"/>
      <c r="U136" s="24"/>
      <c r="V136" s="24"/>
      <c r="W136" s="24"/>
      <c r="X136" s="24"/>
      <c r="Y136" s="24"/>
      <c r="Z136" s="24"/>
      <c r="AA136" s="24"/>
    </row>
    <row r="137">
      <c r="A137" s="24"/>
      <c r="B137" s="24"/>
      <c r="C137" s="21" t="s">
        <v>241</v>
      </c>
      <c r="D137" s="21" t="s">
        <v>778</v>
      </c>
      <c r="E137" s="21" t="s">
        <v>779</v>
      </c>
      <c r="F137" s="52">
        <f>0.5*0.4</f>
        <v>0.2</v>
      </c>
      <c r="G137" s="24"/>
      <c r="H137" s="24"/>
      <c r="I137" s="50"/>
      <c r="J137" s="51" t="s">
        <v>780</v>
      </c>
      <c r="K137" s="24"/>
      <c r="L137" s="24"/>
      <c r="M137" s="24"/>
      <c r="N137" s="24"/>
      <c r="O137" s="24"/>
      <c r="P137" s="24"/>
      <c r="Q137" s="24"/>
      <c r="R137" s="24"/>
      <c r="S137" s="24"/>
      <c r="T137" s="24"/>
      <c r="U137" s="24"/>
      <c r="V137" s="24"/>
      <c r="W137" s="24"/>
      <c r="X137" s="24"/>
      <c r="Y137" s="24"/>
      <c r="Z137" s="24"/>
      <c r="AA137" s="24"/>
    </row>
    <row r="138">
      <c r="A138" s="24"/>
      <c r="B138" s="24"/>
      <c r="C138" s="21" t="s">
        <v>243</v>
      </c>
      <c r="D138" s="24"/>
      <c r="E138" s="21" t="s">
        <v>523</v>
      </c>
      <c r="F138" s="52">
        <f>1.3*0.6</f>
        <v>0.78</v>
      </c>
      <c r="G138" s="24"/>
      <c r="H138" s="24"/>
      <c r="I138" s="50"/>
      <c r="J138" s="50"/>
      <c r="K138" s="24"/>
      <c r="L138" s="24"/>
      <c r="M138" s="24"/>
      <c r="N138" s="24"/>
      <c r="O138" s="24"/>
      <c r="P138" s="24"/>
      <c r="Q138" s="24"/>
      <c r="R138" s="24"/>
      <c r="S138" s="24"/>
      <c r="T138" s="24"/>
      <c r="U138" s="24"/>
      <c r="V138" s="24"/>
      <c r="W138" s="24"/>
      <c r="X138" s="24"/>
      <c r="Y138" s="24"/>
      <c r="Z138" s="24"/>
      <c r="AA138" s="24"/>
    </row>
    <row r="139">
      <c r="A139" s="24"/>
      <c r="B139" s="24"/>
      <c r="C139" s="21" t="s">
        <v>246</v>
      </c>
      <c r="D139" s="21"/>
      <c r="E139" s="21" t="s">
        <v>781</v>
      </c>
      <c r="F139" s="52">
        <f>0.15*0.1*3</f>
        <v>0.045</v>
      </c>
      <c r="G139" s="24"/>
      <c r="H139" s="24"/>
      <c r="I139" s="50"/>
      <c r="J139" s="51" t="s">
        <v>782</v>
      </c>
      <c r="K139" s="24"/>
      <c r="L139" s="24"/>
      <c r="M139" s="24"/>
      <c r="N139" s="24"/>
      <c r="O139" s="24"/>
      <c r="P139" s="24"/>
      <c r="Q139" s="24"/>
      <c r="R139" s="24"/>
      <c r="S139" s="24"/>
      <c r="T139" s="24"/>
      <c r="U139" s="24"/>
      <c r="V139" s="24"/>
      <c r="W139" s="24"/>
      <c r="X139" s="24"/>
      <c r="Y139" s="24"/>
      <c r="Z139" s="24"/>
      <c r="AA139" s="24"/>
    </row>
    <row r="140">
      <c r="A140" s="24"/>
      <c r="B140" s="24"/>
      <c r="C140" s="21" t="s">
        <v>249</v>
      </c>
      <c r="D140" s="21" t="s">
        <v>783</v>
      </c>
      <c r="E140" s="21" t="s">
        <v>229</v>
      </c>
      <c r="F140" s="52">
        <f>0.35*0.35*2</f>
        <v>0.245</v>
      </c>
      <c r="G140" s="24"/>
      <c r="H140" s="24"/>
      <c r="I140" s="50"/>
      <c r="J140" s="51" t="s">
        <v>784</v>
      </c>
      <c r="K140" s="24"/>
      <c r="L140" s="24"/>
      <c r="M140" s="24"/>
      <c r="N140" s="24"/>
      <c r="O140" s="24"/>
      <c r="P140" s="24"/>
      <c r="Q140" s="24"/>
      <c r="R140" s="24"/>
      <c r="S140" s="24"/>
      <c r="T140" s="24"/>
      <c r="U140" s="24"/>
      <c r="V140" s="24"/>
      <c r="W140" s="24"/>
      <c r="X140" s="24"/>
      <c r="Y140" s="24"/>
      <c r="Z140" s="24"/>
      <c r="AA140" s="24"/>
    </row>
    <row r="141">
      <c r="A141" s="24"/>
      <c r="B141" s="24"/>
      <c r="C141" s="21" t="s">
        <v>252</v>
      </c>
      <c r="D141" s="24"/>
      <c r="E141" s="21" t="s">
        <v>785</v>
      </c>
      <c r="F141" s="52">
        <f>0.1*0.1*5</f>
        <v>0.05</v>
      </c>
      <c r="G141" s="24"/>
      <c r="H141" s="24"/>
      <c r="I141" s="50"/>
      <c r="J141" s="51" t="s">
        <v>786</v>
      </c>
      <c r="K141" s="24"/>
      <c r="L141" s="24"/>
      <c r="M141" s="24"/>
      <c r="N141" s="24"/>
      <c r="O141" s="24"/>
      <c r="P141" s="24"/>
      <c r="Q141" s="24"/>
      <c r="R141" s="24"/>
      <c r="S141" s="24"/>
      <c r="T141" s="24"/>
      <c r="U141" s="24"/>
      <c r="V141" s="24"/>
      <c r="W141" s="24"/>
      <c r="X141" s="24"/>
      <c r="Y141" s="24"/>
      <c r="Z141" s="24"/>
      <c r="AA141" s="24"/>
    </row>
    <row r="142">
      <c r="A142" s="24"/>
      <c r="B142" s="24"/>
      <c r="C142" s="21" t="s">
        <v>255</v>
      </c>
      <c r="D142" s="24"/>
      <c r="E142" s="21" t="s">
        <v>787</v>
      </c>
      <c r="F142" s="52">
        <f>0.1*0.1</f>
        <v>0.01</v>
      </c>
      <c r="G142" s="24"/>
      <c r="H142" s="24"/>
      <c r="I142" s="50"/>
      <c r="J142" s="50"/>
      <c r="K142" s="24"/>
      <c r="L142" s="24"/>
      <c r="M142" s="24"/>
      <c r="N142" s="24"/>
      <c r="O142" s="24"/>
      <c r="P142" s="24"/>
      <c r="Q142" s="24"/>
      <c r="R142" s="24"/>
      <c r="S142" s="24"/>
      <c r="T142" s="24"/>
      <c r="U142" s="24"/>
      <c r="V142" s="24"/>
      <c r="W142" s="24"/>
      <c r="X142" s="24"/>
      <c r="Y142" s="24"/>
      <c r="Z142" s="24"/>
      <c r="AA142" s="24"/>
    </row>
    <row r="143">
      <c r="A143" s="24"/>
      <c r="B143" s="24"/>
      <c r="C143" s="21" t="s">
        <v>258</v>
      </c>
      <c r="D143" s="21" t="s">
        <v>788</v>
      </c>
      <c r="E143" s="21" t="s">
        <v>789</v>
      </c>
      <c r="F143" s="52">
        <f>0.2*0.2*3</f>
        <v>0.12</v>
      </c>
      <c r="G143" s="24"/>
      <c r="H143" s="24"/>
      <c r="I143" s="50"/>
      <c r="J143" s="51" t="s">
        <v>790</v>
      </c>
      <c r="K143" s="24"/>
      <c r="L143" s="24"/>
      <c r="M143" s="24"/>
      <c r="N143" s="24"/>
      <c r="O143" s="24"/>
      <c r="P143" s="24"/>
      <c r="Q143" s="24"/>
      <c r="R143" s="24"/>
      <c r="S143" s="24"/>
      <c r="T143" s="24"/>
      <c r="U143" s="24"/>
      <c r="V143" s="24"/>
      <c r="W143" s="24"/>
      <c r="X143" s="24"/>
      <c r="Y143" s="24"/>
      <c r="Z143" s="24"/>
      <c r="AA143" s="24"/>
    </row>
    <row r="144">
      <c r="A144" s="24"/>
      <c r="B144" s="24"/>
      <c r="C144" s="21" t="s">
        <v>260</v>
      </c>
      <c r="D144" s="21" t="s">
        <v>791</v>
      </c>
      <c r="E144" s="21" t="s">
        <v>792</v>
      </c>
      <c r="F144" s="52">
        <f>0.1*0.1</f>
        <v>0.01</v>
      </c>
      <c r="G144" s="24"/>
      <c r="H144" s="24"/>
      <c r="I144" s="50"/>
      <c r="J144" s="51" t="s">
        <v>793</v>
      </c>
      <c r="K144" s="24"/>
      <c r="L144" s="24"/>
      <c r="M144" s="24"/>
      <c r="N144" s="24"/>
      <c r="O144" s="24"/>
      <c r="P144" s="24"/>
      <c r="Q144" s="24"/>
      <c r="R144" s="24"/>
      <c r="S144" s="24"/>
      <c r="T144" s="24"/>
      <c r="U144" s="24"/>
      <c r="V144" s="24"/>
      <c r="W144" s="24"/>
      <c r="X144" s="24"/>
      <c r="Y144" s="24"/>
      <c r="Z144" s="24"/>
      <c r="AA144" s="24"/>
    </row>
    <row r="145">
      <c r="A145" s="24"/>
      <c r="B145" s="24"/>
      <c r="C145" s="21" t="s">
        <v>262</v>
      </c>
      <c r="D145" s="21" t="s">
        <v>794</v>
      </c>
      <c r="E145" s="21" t="s">
        <v>795</v>
      </c>
      <c r="F145" s="52">
        <f>0.1*0.1*2</f>
        <v>0.02</v>
      </c>
      <c r="G145" s="24"/>
      <c r="H145" s="24"/>
      <c r="I145" s="50"/>
      <c r="J145" s="51" t="s">
        <v>796</v>
      </c>
      <c r="K145" s="24"/>
      <c r="L145" s="24"/>
      <c r="M145" s="24"/>
      <c r="N145" s="24"/>
      <c r="O145" s="24"/>
      <c r="P145" s="24"/>
      <c r="Q145" s="24"/>
      <c r="R145" s="24"/>
      <c r="S145" s="24"/>
      <c r="T145" s="24"/>
      <c r="U145" s="24"/>
      <c r="V145" s="24"/>
      <c r="W145" s="24"/>
      <c r="X145" s="24"/>
      <c r="Y145" s="24"/>
      <c r="Z145" s="24"/>
      <c r="AA145" s="24"/>
    </row>
    <row r="146">
      <c r="A146" s="24"/>
      <c r="B146" s="24"/>
      <c r="C146" s="21" t="s">
        <v>264</v>
      </c>
      <c r="D146" s="24"/>
      <c r="E146" s="21" t="s">
        <v>797</v>
      </c>
      <c r="F146" s="52">
        <f>1.5*0.6</f>
        <v>0.9</v>
      </c>
      <c r="G146" s="24"/>
      <c r="H146" s="24"/>
      <c r="I146" s="50"/>
      <c r="J146" s="51" t="s">
        <v>798</v>
      </c>
      <c r="K146" s="24"/>
      <c r="L146" s="24"/>
      <c r="M146" s="24"/>
      <c r="N146" s="24"/>
      <c r="O146" s="24"/>
      <c r="P146" s="24"/>
      <c r="Q146" s="24"/>
      <c r="R146" s="24"/>
      <c r="S146" s="24"/>
      <c r="T146" s="24"/>
      <c r="U146" s="24"/>
      <c r="V146" s="24"/>
      <c r="W146" s="24"/>
      <c r="X146" s="24"/>
      <c r="Y146" s="24"/>
      <c r="Z146" s="24"/>
      <c r="AA146" s="24"/>
    </row>
    <row r="147">
      <c r="A147" s="18" t="s">
        <v>16</v>
      </c>
      <c r="B147" s="19">
        <v>46181.0</v>
      </c>
      <c r="C147" s="18" t="s">
        <v>99</v>
      </c>
      <c r="E147" s="18" t="s">
        <v>137</v>
      </c>
      <c r="F147" s="41">
        <f>1.5*1.5*2</f>
        <v>4.5</v>
      </c>
      <c r="G147" s="18"/>
      <c r="H147" s="18" t="s">
        <v>754</v>
      </c>
      <c r="I147" s="47"/>
      <c r="J147" s="47"/>
    </row>
    <row r="148">
      <c r="C148" s="18" t="s">
        <v>124</v>
      </c>
      <c r="E148" s="18" t="s">
        <v>199</v>
      </c>
      <c r="F148" s="41">
        <f>0.1*0.1*10</f>
        <v>0.1</v>
      </c>
      <c r="I148" s="47"/>
      <c r="J148" s="47"/>
    </row>
    <row r="149">
      <c r="C149" s="18" t="s">
        <v>142</v>
      </c>
      <c r="D149" s="18" t="s">
        <v>799</v>
      </c>
      <c r="E149" s="18" t="s">
        <v>800</v>
      </c>
      <c r="F149" s="41">
        <f>0.3*0.2</f>
        <v>0.06</v>
      </c>
      <c r="I149" s="47"/>
      <c r="J149" s="48" t="s">
        <v>801</v>
      </c>
    </row>
    <row r="150">
      <c r="C150" s="18" t="s">
        <v>164</v>
      </c>
      <c r="D150" s="18" t="s">
        <v>802</v>
      </c>
      <c r="E150" s="18" t="s">
        <v>256</v>
      </c>
      <c r="F150" s="41">
        <f>0.7*3</f>
        <v>2.1</v>
      </c>
      <c r="I150" s="47"/>
      <c r="J150" s="48" t="s">
        <v>803</v>
      </c>
    </row>
    <row r="151">
      <c r="C151" s="18" t="s">
        <v>183</v>
      </c>
      <c r="E151" s="18" t="s">
        <v>804</v>
      </c>
      <c r="F151" s="41">
        <f>0.35*0.25</f>
        <v>0.0875</v>
      </c>
      <c r="I151" s="47"/>
      <c r="J151" s="48" t="s">
        <v>805</v>
      </c>
    </row>
    <row r="152">
      <c r="C152" s="18" t="s">
        <v>203</v>
      </c>
      <c r="D152" s="18" t="s">
        <v>806</v>
      </c>
      <c r="E152" s="18" t="s">
        <v>807</v>
      </c>
      <c r="F152" s="41">
        <f>0.6*1.05+3</f>
        <v>3.63</v>
      </c>
      <c r="I152" s="47"/>
      <c r="J152" s="48" t="s">
        <v>808</v>
      </c>
    </row>
    <row r="153">
      <c r="C153" s="18" t="s">
        <v>235</v>
      </c>
      <c r="D153" s="18" t="s">
        <v>809</v>
      </c>
      <c r="E153" s="18" t="s">
        <v>201</v>
      </c>
      <c r="F153" s="41">
        <f>3.1</f>
        <v>3.1</v>
      </c>
      <c r="I153" s="47"/>
      <c r="J153" s="47"/>
    </row>
    <row r="154">
      <c r="C154" s="18" t="s">
        <v>238</v>
      </c>
      <c r="E154" s="18" t="s">
        <v>137</v>
      </c>
      <c r="F154" s="41">
        <f>1.5*2</f>
        <v>3</v>
      </c>
      <c r="G154" s="18"/>
      <c r="H154" s="18" t="s">
        <v>702</v>
      </c>
      <c r="I154" s="47"/>
      <c r="J154" s="48" t="s">
        <v>810</v>
      </c>
    </row>
    <row r="155">
      <c r="C155" s="18" t="s">
        <v>241</v>
      </c>
      <c r="E155" s="18" t="s">
        <v>137</v>
      </c>
      <c r="F155" s="41">
        <f>3*1.5</f>
        <v>4.5</v>
      </c>
      <c r="G155" s="18"/>
      <c r="H155" s="18" t="s">
        <v>639</v>
      </c>
      <c r="I155" s="47"/>
      <c r="J155" s="47"/>
    </row>
    <row r="156">
      <c r="C156" s="18" t="s">
        <v>243</v>
      </c>
      <c r="D156" s="18" t="s">
        <v>788</v>
      </c>
      <c r="E156" s="18" t="s">
        <v>811</v>
      </c>
      <c r="F156" s="41">
        <f>1.1*6</f>
        <v>6.6</v>
      </c>
      <c r="I156" s="47"/>
      <c r="J156" s="48" t="s">
        <v>812</v>
      </c>
    </row>
    <row r="157">
      <c r="C157" s="18" t="s">
        <v>246</v>
      </c>
      <c r="D157" s="18" t="s">
        <v>813</v>
      </c>
      <c r="F157" s="41">
        <f>0.1*0.1</f>
        <v>0.01</v>
      </c>
      <c r="I157" s="47"/>
      <c r="J157" s="47"/>
    </row>
    <row r="158">
      <c r="A158" s="21" t="s">
        <v>45</v>
      </c>
      <c r="B158" s="22">
        <v>46181.0</v>
      </c>
      <c r="C158" s="21" t="s">
        <v>99</v>
      </c>
      <c r="D158" s="21" t="s">
        <v>707</v>
      </c>
      <c r="E158" s="21" t="s">
        <v>708</v>
      </c>
      <c r="F158" s="52">
        <f>0.15*0.2*10</f>
        <v>0.3</v>
      </c>
      <c r="G158" s="24"/>
      <c r="H158" s="24"/>
      <c r="I158" s="50"/>
      <c r="J158" s="51" t="s">
        <v>814</v>
      </c>
      <c r="K158" s="24"/>
      <c r="L158" s="24"/>
      <c r="M158" s="24"/>
      <c r="N158" s="24"/>
      <c r="O158" s="24"/>
      <c r="P158" s="24"/>
      <c r="Q158" s="24"/>
      <c r="R158" s="24"/>
      <c r="S158" s="24"/>
      <c r="T158" s="24"/>
      <c r="U158" s="24"/>
      <c r="V158" s="24"/>
      <c r="W158" s="24"/>
      <c r="X158" s="24"/>
      <c r="Y158" s="24"/>
      <c r="Z158" s="24"/>
      <c r="AA158" s="24"/>
    </row>
    <row r="159">
      <c r="A159" s="24"/>
      <c r="B159" s="24"/>
      <c r="C159" s="21" t="s">
        <v>124</v>
      </c>
      <c r="D159" s="21" t="s">
        <v>743</v>
      </c>
      <c r="E159" s="21" t="s">
        <v>744</v>
      </c>
      <c r="F159" s="52">
        <f>0.1*0.1*3</f>
        <v>0.03</v>
      </c>
      <c r="G159" s="24"/>
      <c r="H159" s="24"/>
      <c r="I159" s="50"/>
      <c r="J159" s="51" t="s">
        <v>815</v>
      </c>
      <c r="K159" s="24"/>
      <c r="L159" s="24"/>
      <c r="M159" s="24"/>
      <c r="N159" s="24"/>
      <c r="O159" s="24"/>
      <c r="P159" s="24"/>
      <c r="Q159" s="24"/>
      <c r="R159" s="24"/>
      <c r="S159" s="24"/>
      <c r="T159" s="24"/>
      <c r="U159" s="24"/>
      <c r="V159" s="24"/>
      <c r="W159" s="24"/>
      <c r="X159" s="24"/>
      <c r="Y159" s="24"/>
      <c r="Z159" s="24"/>
      <c r="AA159" s="24"/>
    </row>
    <row r="160">
      <c r="A160" s="24"/>
      <c r="B160" s="24"/>
      <c r="C160" s="21" t="s">
        <v>142</v>
      </c>
      <c r="D160" s="21" t="s">
        <v>816</v>
      </c>
      <c r="E160" s="21" t="s">
        <v>817</v>
      </c>
      <c r="F160" s="52">
        <f>0.1*0.1*5</f>
        <v>0.05</v>
      </c>
      <c r="G160" s="24"/>
      <c r="H160" s="24"/>
      <c r="I160" s="50"/>
      <c r="J160" s="51" t="s">
        <v>818</v>
      </c>
      <c r="K160" s="24"/>
      <c r="L160" s="24"/>
      <c r="M160" s="24"/>
      <c r="N160" s="24"/>
      <c r="O160" s="24"/>
      <c r="P160" s="24"/>
      <c r="Q160" s="24"/>
      <c r="R160" s="24"/>
      <c r="S160" s="24"/>
      <c r="T160" s="24"/>
      <c r="U160" s="24"/>
      <c r="V160" s="24"/>
      <c r="W160" s="24"/>
      <c r="X160" s="24"/>
      <c r="Y160" s="24"/>
      <c r="Z160" s="24"/>
      <c r="AA160" s="24"/>
    </row>
    <row r="161">
      <c r="A161" s="24"/>
      <c r="B161" s="24"/>
      <c r="C161" s="21" t="s">
        <v>164</v>
      </c>
      <c r="D161" s="24"/>
      <c r="E161" s="21" t="s">
        <v>199</v>
      </c>
      <c r="F161" s="52">
        <f>0.1*0.1*6</f>
        <v>0.06</v>
      </c>
      <c r="G161" s="24"/>
      <c r="H161" s="24"/>
      <c r="I161" s="50"/>
      <c r="J161" s="50"/>
      <c r="K161" s="24"/>
      <c r="L161" s="24"/>
      <c r="M161" s="24"/>
      <c r="N161" s="24"/>
      <c r="O161" s="24"/>
      <c r="P161" s="24"/>
      <c r="Q161" s="24"/>
      <c r="R161" s="24"/>
      <c r="S161" s="24"/>
      <c r="T161" s="24"/>
      <c r="U161" s="24"/>
      <c r="V161" s="24"/>
      <c r="W161" s="24"/>
      <c r="X161" s="24"/>
      <c r="Y161" s="24"/>
      <c r="Z161" s="24"/>
      <c r="AA161" s="24"/>
    </row>
    <row r="162">
      <c r="A162" s="24"/>
      <c r="B162" s="24"/>
      <c r="C162" s="21" t="s">
        <v>183</v>
      </c>
      <c r="D162" s="24"/>
      <c r="E162" s="21" t="s">
        <v>137</v>
      </c>
      <c r="F162" s="52">
        <f>0.8*1.15</f>
        <v>0.92</v>
      </c>
      <c r="G162" s="21"/>
      <c r="H162" s="21" t="s">
        <v>639</v>
      </c>
      <c r="I162" s="50"/>
      <c r="J162" s="51" t="s">
        <v>819</v>
      </c>
      <c r="K162" s="24"/>
      <c r="L162" s="24"/>
      <c r="M162" s="24"/>
      <c r="N162" s="24"/>
      <c r="O162" s="24"/>
      <c r="P162" s="24"/>
      <c r="Q162" s="24"/>
      <c r="R162" s="24"/>
      <c r="S162" s="24"/>
      <c r="T162" s="24"/>
      <c r="U162" s="24"/>
      <c r="V162" s="24"/>
      <c r="W162" s="24"/>
      <c r="X162" s="24"/>
      <c r="Y162" s="24"/>
      <c r="Z162" s="24"/>
      <c r="AA162" s="24"/>
    </row>
    <row r="163">
      <c r="A163" s="24"/>
      <c r="B163" s="24"/>
      <c r="C163" s="21" t="s">
        <v>203</v>
      </c>
      <c r="D163" s="21" t="s">
        <v>809</v>
      </c>
      <c r="E163" s="21" t="s">
        <v>201</v>
      </c>
      <c r="F163" s="52">
        <f>0.65*0.9+1.2*0.65</f>
        <v>1.365</v>
      </c>
      <c r="G163" s="24"/>
      <c r="H163" s="24"/>
      <c r="I163" s="50"/>
      <c r="J163" s="51" t="s">
        <v>820</v>
      </c>
      <c r="K163" s="24"/>
      <c r="L163" s="24"/>
      <c r="M163" s="24"/>
      <c r="N163" s="24"/>
      <c r="O163" s="24"/>
      <c r="P163" s="24"/>
      <c r="Q163" s="24"/>
      <c r="R163" s="24"/>
      <c r="S163" s="24"/>
      <c r="T163" s="24"/>
      <c r="U163" s="24"/>
      <c r="V163" s="24"/>
      <c r="W163" s="24"/>
      <c r="X163" s="24"/>
      <c r="Y163" s="24"/>
      <c r="Z163" s="24"/>
      <c r="AA163" s="24"/>
    </row>
    <row r="164">
      <c r="A164" s="24"/>
      <c r="B164" s="24"/>
      <c r="C164" s="21" t="s">
        <v>235</v>
      </c>
      <c r="D164" s="21" t="s">
        <v>821</v>
      </c>
      <c r="E164" s="21" t="s">
        <v>822</v>
      </c>
      <c r="F164" s="52">
        <f>0.1*0.1*9</f>
        <v>0.09</v>
      </c>
      <c r="G164" s="24"/>
      <c r="H164" s="24"/>
      <c r="I164" s="50"/>
      <c r="J164" s="51" t="s">
        <v>823</v>
      </c>
      <c r="K164" s="24"/>
      <c r="L164" s="24"/>
      <c r="M164" s="24"/>
      <c r="N164" s="24"/>
      <c r="O164" s="24"/>
      <c r="P164" s="24"/>
      <c r="Q164" s="24"/>
      <c r="R164" s="24"/>
      <c r="S164" s="24"/>
      <c r="T164" s="24"/>
      <c r="U164" s="24"/>
      <c r="V164" s="24"/>
      <c r="W164" s="24"/>
      <c r="X164" s="24"/>
      <c r="Y164" s="24"/>
      <c r="Z164" s="24"/>
      <c r="AA164" s="24"/>
    </row>
    <row r="165">
      <c r="A165" s="24"/>
      <c r="B165" s="24"/>
      <c r="C165" s="21" t="s">
        <v>238</v>
      </c>
      <c r="D165" s="21" t="s">
        <v>824</v>
      </c>
      <c r="E165" s="21" t="s">
        <v>825</v>
      </c>
      <c r="F165" s="52">
        <f>0.3*0.15</f>
        <v>0.045</v>
      </c>
      <c r="G165" s="24"/>
      <c r="H165" s="24"/>
      <c r="I165" s="50"/>
      <c r="J165" s="51" t="s">
        <v>826</v>
      </c>
      <c r="K165" s="24"/>
      <c r="L165" s="24"/>
      <c r="M165" s="24"/>
      <c r="N165" s="24"/>
      <c r="O165" s="24"/>
      <c r="P165" s="24"/>
      <c r="Q165" s="24"/>
      <c r="R165" s="24"/>
      <c r="S165" s="24"/>
      <c r="T165" s="24"/>
      <c r="U165" s="24"/>
      <c r="V165" s="24"/>
      <c r="W165" s="24"/>
      <c r="X165" s="24"/>
      <c r="Y165" s="24"/>
      <c r="Z165" s="24"/>
      <c r="AA165" s="24"/>
    </row>
    <row r="166">
      <c r="A166" s="24"/>
      <c r="B166" s="24"/>
      <c r="C166" s="21" t="s">
        <v>241</v>
      </c>
      <c r="D166" s="21" t="s">
        <v>827</v>
      </c>
      <c r="E166" s="21" t="s">
        <v>225</v>
      </c>
      <c r="F166" s="52">
        <f>0.5*0.3</f>
        <v>0.15</v>
      </c>
      <c r="G166" s="24"/>
      <c r="H166" s="24"/>
      <c r="I166" s="50"/>
      <c r="J166" s="51" t="s">
        <v>828</v>
      </c>
      <c r="K166" s="24"/>
      <c r="L166" s="24"/>
      <c r="M166" s="24"/>
      <c r="N166" s="24"/>
      <c r="O166" s="24"/>
      <c r="P166" s="24"/>
      <c r="Q166" s="24"/>
      <c r="R166" s="24"/>
      <c r="S166" s="24"/>
      <c r="T166" s="24"/>
      <c r="U166" s="24"/>
      <c r="V166" s="24"/>
      <c r="W166" s="24"/>
      <c r="X166" s="24"/>
      <c r="Y166" s="24"/>
      <c r="Z166" s="24"/>
      <c r="AA166" s="24"/>
    </row>
    <row r="167">
      <c r="A167" s="24"/>
      <c r="B167" s="24"/>
      <c r="C167" s="21" t="s">
        <v>243</v>
      </c>
      <c r="D167" s="24"/>
      <c r="E167" s="21" t="s">
        <v>137</v>
      </c>
      <c r="F167" s="52">
        <f>1.3*1.2+0.95*0.5</f>
        <v>2.035</v>
      </c>
      <c r="G167" s="21"/>
      <c r="H167" s="21" t="s">
        <v>702</v>
      </c>
      <c r="I167" s="50"/>
      <c r="J167" s="50"/>
      <c r="K167" s="24"/>
      <c r="L167" s="24"/>
      <c r="M167" s="24"/>
      <c r="N167" s="24"/>
      <c r="O167" s="24"/>
      <c r="P167" s="24"/>
      <c r="Q167" s="24"/>
      <c r="R167" s="24"/>
      <c r="S167" s="24"/>
      <c r="T167" s="24"/>
      <c r="U167" s="24"/>
      <c r="V167" s="24"/>
      <c r="W167" s="24"/>
      <c r="X167" s="24"/>
      <c r="Y167" s="24"/>
      <c r="Z167" s="24"/>
      <c r="AA167" s="24"/>
    </row>
    <row r="168">
      <c r="A168" s="24"/>
      <c r="B168" s="24"/>
      <c r="C168" s="21" t="s">
        <v>246</v>
      </c>
      <c r="D168" s="24"/>
      <c r="E168" s="21" t="s">
        <v>137</v>
      </c>
      <c r="F168" s="52">
        <f>1.5*1.4</f>
        <v>2.1</v>
      </c>
      <c r="G168" s="21"/>
      <c r="H168" s="21" t="s">
        <v>829</v>
      </c>
      <c r="I168" s="50"/>
      <c r="J168" s="50"/>
      <c r="K168" s="24"/>
      <c r="L168" s="24"/>
      <c r="M168" s="24"/>
      <c r="N168" s="24"/>
      <c r="O168" s="24"/>
      <c r="P168" s="24"/>
      <c r="Q168" s="24"/>
      <c r="R168" s="24"/>
      <c r="S168" s="24"/>
      <c r="T168" s="24"/>
      <c r="U168" s="24"/>
      <c r="V168" s="24"/>
      <c r="W168" s="24"/>
      <c r="X168" s="24"/>
      <c r="Y168" s="24"/>
      <c r="Z168" s="24"/>
      <c r="AA168" s="24"/>
    </row>
    <row r="169">
      <c r="A169" s="24"/>
      <c r="B169" s="24"/>
      <c r="C169" s="21" t="s">
        <v>249</v>
      </c>
      <c r="D169" s="24"/>
      <c r="E169" s="21" t="s">
        <v>830</v>
      </c>
      <c r="F169" s="52">
        <f>0.48*0.42*0.5</f>
        <v>0.1008</v>
      </c>
      <c r="G169" s="24"/>
      <c r="H169" s="24"/>
      <c r="I169" s="25" t="s">
        <v>831</v>
      </c>
      <c r="J169" s="51" t="s">
        <v>832</v>
      </c>
      <c r="K169" s="24"/>
      <c r="L169" s="24"/>
      <c r="M169" s="24"/>
      <c r="N169" s="24"/>
      <c r="O169" s="24"/>
      <c r="P169" s="24"/>
      <c r="Q169" s="24"/>
      <c r="R169" s="24"/>
      <c r="S169" s="24"/>
      <c r="T169" s="24"/>
      <c r="U169" s="24"/>
      <c r="V169" s="24"/>
      <c r="W169" s="24"/>
      <c r="X169" s="24"/>
      <c r="Y169" s="24"/>
      <c r="Z169" s="24"/>
      <c r="AA169" s="24"/>
    </row>
    <row r="170">
      <c r="A170" s="24"/>
      <c r="B170" s="24"/>
      <c r="C170" s="21" t="s">
        <v>252</v>
      </c>
      <c r="D170" s="21" t="s">
        <v>833</v>
      </c>
      <c r="E170" s="21" t="s">
        <v>834</v>
      </c>
      <c r="F170" s="52">
        <f>0.3*0.2</f>
        <v>0.06</v>
      </c>
      <c r="G170" s="24"/>
      <c r="H170" s="24"/>
      <c r="I170" s="50"/>
      <c r="J170" s="51" t="s">
        <v>835</v>
      </c>
      <c r="K170" s="24"/>
      <c r="L170" s="24"/>
      <c r="M170" s="24"/>
      <c r="N170" s="24"/>
      <c r="O170" s="24"/>
      <c r="P170" s="24"/>
      <c r="Q170" s="24"/>
      <c r="R170" s="24"/>
      <c r="S170" s="24"/>
      <c r="T170" s="24"/>
      <c r="U170" s="24"/>
      <c r="V170" s="24"/>
      <c r="W170" s="24"/>
      <c r="X170" s="24"/>
      <c r="Y170" s="24"/>
      <c r="Z170" s="24"/>
      <c r="AA170" s="24"/>
    </row>
    <row r="171">
      <c r="A171" s="18" t="s">
        <v>20</v>
      </c>
      <c r="B171" s="19">
        <v>46197.0</v>
      </c>
      <c r="C171" s="18" t="s">
        <v>99</v>
      </c>
      <c r="E171" s="18" t="s">
        <v>227</v>
      </c>
      <c r="F171" s="41">
        <f>0.9*1.2+2*2+0.5*0.4*6+0.4*0.3+0.33*0.1+0.15*0.1+0.5*0.2*3</f>
        <v>6.748</v>
      </c>
      <c r="I171" s="57" t="s">
        <v>836</v>
      </c>
      <c r="J171" s="47"/>
    </row>
    <row r="172">
      <c r="C172" s="18" t="s">
        <v>124</v>
      </c>
      <c r="D172" s="18" t="s">
        <v>837</v>
      </c>
      <c r="E172" s="18" t="s">
        <v>838</v>
      </c>
      <c r="F172" s="41">
        <f>1.25*1.38</f>
        <v>1.725</v>
      </c>
      <c r="I172" s="47"/>
      <c r="J172" s="47"/>
    </row>
    <row r="173">
      <c r="C173" s="18" t="s">
        <v>142</v>
      </c>
      <c r="D173" s="18" t="s">
        <v>617</v>
      </c>
      <c r="E173" s="18" t="s">
        <v>839</v>
      </c>
      <c r="F173" s="41">
        <f>1.11*0.22+0.22*0.18</f>
        <v>0.2838</v>
      </c>
      <c r="I173" s="47"/>
      <c r="J173" s="47"/>
    </row>
    <row r="174">
      <c r="C174" s="18" t="s">
        <v>164</v>
      </c>
      <c r="D174" s="18" t="s">
        <v>704</v>
      </c>
      <c r="E174" s="18" t="s">
        <v>840</v>
      </c>
      <c r="F174" s="41">
        <f>0.09*0.05+0.1*0.13+0.15*0.08+0.15*0.14+0.14*0.15+0.14*0.12</f>
        <v>0.0883</v>
      </c>
      <c r="I174" s="47"/>
      <c r="J174" s="47"/>
    </row>
    <row r="175">
      <c r="C175" s="18" t="s">
        <v>183</v>
      </c>
      <c r="D175" s="18" t="s">
        <v>162</v>
      </c>
      <c r="E175" s="18" t="s">
        <v>841</v>
      </c>
      <c r="F175" s="41">
        <f>0.78*0.65</f>
        <v>0.507</v>
      </c>
      <c r="I175" s="47"/>
      <c r="J175" s="47"/>
    </row>
    <row r="176">
      <c r="C176" s="18" t="s">
        <v>203</v>
      </c>
      <c r="E176" s="18" t="s">
        <v>842</v>
      </c>
      <c r="F176" s="41">
        <f>1.1*1.35+0.18*0.11+2*1.3*4+1.56*1.3+0.1*0.1*75</f>
        <v>14.6828</v>
      </c>
      <c r="I176" s="47"/>
      <c r="J176" s="47"/>
    </row>
    <row r="177">
      <c r="C177" s="18" t="s">
        <v>235</v>
      </c>
      <c r="D177" s="18" t="s">
        <v>167</v>
      </c>
      <c r="E177" s="18" t="s">
        <v>843</v>
      </c>
      <c r="F177" s="41">
        <f>0.26*0.33</f>
        <v>0.0858</v>
      </c>
      <c r="I177" s="47"/>
      <c r="J177" s="47"/>
    </row>
    <row r="178">
      <c r="C178" s="18" t="s">
        <v>238</v>
      </c>
      <c r="E178" s="18" t="s">
        <v>844</v>
      </c>
      <c r="F178" s="41">
        <f>0.81*0.64</f>
        <v>0.5184</v>
      </c>
      <c r="I178" s="47"/>
      <c r="J178" s="47"/>
    </row>
    <row r="179">
      <c r="C179" s="18" t="s">
        <v>241</v>
      </c>
      <c r="E179" s="18" t="s">
        <v>229</v>
      </c>
      <c r="F179" s="41">
        <f>1.3*1.56*2+0.93*0.95*0.5*0.75+0.9*0.6</f>
        <v>4.9273125</v>
      </c>
      <c r="I179" s="47"/>
      <c r="J179" s="47"/>
    </row>
    <row r="180">
      <c r="C180" s="18" t="s">
        <v>243</v>
      </c>
      <c r="E180" s="18" t="s">
        <v>137</v>
      </c>
      <c r="F180" s="41">
        <f>0.8*0.78</f>
        <v>0.624</v>
      </c>
      <c r="I180" s="47"/>
      <c r="J180" s="47"/>
    </row>
    <row r="181">
      <c r="C181" s="18" t="s">
        <v>246</v>
      </c>
      <c r="E181" s="18" t="s">
        <v>256</v>
      </c>
      <c r="F181" s="41">
        <f>0.23*0.31</f>
        <v>0.0713</v>
      </c>
      <c r="I181" s="47"/>
      <c r="J181" s="47"/>
    </row>
    <row r="182">
      <c r="C182" s="18" t="s">
        <v>249</v>
      </c>
      <c r="E182" s="18" t="s">
        <v>232</v>
      </c>
      <c r="F182" s="41">
        <f>1.3*0.78</f>
        <v>1.014</v>
      </c>
      <c r="I182" s="47"/>
      <c r="J182" s="47"/>
    </row>
    <row r="183">
      <c r="C183" s="18" t="s">
        <v>252</v>
      </c>
      <c r="E183" s="18" t="s">
        <v>845</v>
      </c>
      <c r="F183" s="41">
        <f>0.24*0.17</f>
        <v>0.0408</v>
      </c>
      <c r="I183" s="47"/>
      <c r="J183" s="47"/>
    </row>
    <row r="184">
      <c r="C184" s="18" t="s">
        <v>255</v>
      </c>
      <c r="E184" s="18" t="s">
        <v>846</v>
      </c>
      <c r="F184" s="41">
        <f>0.2*0.15</f>
        <v>0.03</v>
      </c>
      <c r="I184" s="47"/>
      <c r="J184" s="47"/>
    </row>
    <row r="185">
      <c r="C185" s="18" t="s">
        <v>258</v>
      </c>
      <c r="D185" s="18" t="s">
        <v>131</v>
      </c>
      <c r="E185" s="18" t="s">
        <v>208</v>
      </c>
      <c r="F185" s="41">
        <f>3.64*2.34</f>
        <v>8.5176</v>
      </c>
      <c r="I185" s="47"/>
      <c r="J185" s="47"/>
    </row>
    <row r="186">
      <c r="C186" s="18" t="s">
        <v>260</v>
      </c>
      <c r="E186" s="18" t="s">
        <v>101</v>
      </c>
      <c r="F186" s="41">
        <f>0.4*0.49*2+0.28*0.4</f>
        <v>0.504</v>
      </c>
      <c r="I186" s="47"/>
      <c r="J186" s="47"/>
    </row>
    <row r="187">
      <c r="C187" s="18" t="s">
        <v>262</v>
      </c>
      <c r="E187" s="18" t="s">
        <v>847</v>
      </c>
      <c r="F187" s="41">
        <f>0.49*0.4</f>
        <v>0.196</v>
      </c>
      <c r="I187" s="47"/>
      <c r="J187" s="47"/>
    </row>
    <row r="188">
      <c r="C188" s="18" t="s">
        <v>264</v>
      </c>
      <c r="E188" s="18" t="s">
        <v>315</v>
      </c>
      <c r="F188" s="41">
        <f>1.4*0.7</f>
        <v>0.98</v>
      </c>
      <c r="I188" s="47"/>
      <c r="J188" s="47"/>
    </row>
    <row r="189">
      <c r="C189" s="18" t="s">
        <v>266</v>
      </c>
      <c r="E189" s="18" t="s">
        <v>225</v>
      </c>
      <c r="F189" s="41">
        <f>0.4*0.35+0.55*0.55+ 1.2*0.75+0.3*0.4</f>
        <v>1.4625</v>
      </c>
      <c r="I189" s="47"/>
      <c r="J189" s="47"/>
    </row>
    <row r="190">
      <c r="C190" s="18" t="s">
        <v>268</v>
      </c>
      <c r="D190" s="18" t="s">
        <v>848</v>
      </c>
      <c r="E190" s="18" t="s">
        <v>849</v>
      </c>
      <c r="F190" s="41">
        <f>0.55*0.75</f>
        <v>0.4125</v>
      </c>
      <c r="I190" s="47"/>
      <c r="J190" s="47"/>
    </row>
    <row r="191">
      <c r="C191" s="18" t="s">
        <v>270</v>
      </c>
      <c r="E191" s="18" t="s">
        <v>850</v>
      </c>
      <c r="F191" s="41">
        <f>1.1*1.6</f>
        <v>1.76</v>
      </c>
      <c r="I191" s="47"/>
      <c r="J191" s="47"/>
    </row>
    <row r="192">
      <c r="C192" s="18" t="s">
        <v>273</v>
      </c>
      <c r="E192" s="18" t="s">
        <v>851</v>
      </c>
      <c r="F192" s="41">
        <f>0.7*0.5</f>
        <v>0.35</v>
      </c>
      <c r="I192" s="47"/>
      <c r="J192" s="47"/>
    </row>
    <row r="193">
      <c r="C193" s="18" t="s">
        <v>276</v>
      </c>
      <c r="E193" s="18" t="s">
        <v>247</v>
      </c>
      <c r="F193" s="41">
        <f>0.3*0.6</f>
        <v>0.18</v>
      </c>
      <c r="I193" s="47"/>
      <c r="J193" s="47"/>
    </row>
    <row r="194">
      <c r="C194" s="18" t="s">
        <v>279</v>
      </c>
      <c r="D194" s="18" t="s">
        <v>143</v>
      </c>
      <c r="F194" s="41">
        <f>0.3*0.5</f>
        <v>0.15</v>
      </c>
      <c r="I194" s="47"/>
      <c r="J194" s="47"/>
    </row>
    <row r="195">
      <c r="C195" s="18" t="s">
        <v>284</v>
      </c>
      <c r="E195" s="18" t="s">
        <v>852</v>
      </c>
      <c r="F195" s="41">
        <f>0.1*0.1*2</f>
        <v>0.02</v>
      </c>
      <c r="I195" s="47"/>
      <c r="J195" s="47"/>
    </row>
    <row r="196">
      <c r="C196" s="18" t="s">
        <v>286</v>
      </c>
      <c r="E196" s="18" t="s">
        <v>853</v>
      </c>
      <c r="F196" s="41">
        <f>0.2*0.2+0.3*0.3</f>
        <v>0.13</v>
      </c>
      <c r="I196" s="47"/>
      <c r="J196" s="47"/>
    </row>
    <row r="197">
      <c r="A197" s="21" t="s">
        <v>854</v>
      </c>
      <c r="B197" s="22">
        <v>46197.0</v>
      </c>
      <c r="C197" s="21" t="s">
        <v>99</v>
      </c>
      <c r="D197" s="24"/>
      <c r="E197" s="21" t="s">
        <v>256</v>
      </c>
      <c r="F197" s="52">
        <f>0.9*2.86+0.76*0.86</f>
        <v>3.2276</v>
      </c>
      <c r="G197" s="24"/>
      <c r="H197" s="24"/>
      <c r="I197" s="25" t="s">
        <v>836</v>
      </c>
      <c r="J197" s="50"/>
      <c r="K197" s="24"/>
      <c r="L197" s="24"/>
      <c r="M197" s="24"/>
      <c r="N197" s="24"/>
      <c r="O197" s="24"/>
      <c r="P197" s="24"/>
      <c r="Q197" s="24"/>
      <c r="R197" s="24"/>
      <c r="S197" s="24"/>
      <c r="T197" s="24"/>
      <c r="U197" s="24"/>
      <c r="V197" s="24"/>
      <c r="W197" s="24"/>
      <c r="X197" s="24"/>
      <c r="Y197" s="24"/>
      <c r="Z197" s="24"/>
      <c r="AA197" s="24"/>
    </row>
    <row r="198">
      <c r="A198" s="24"/>
      <c r="B198" s="24"/>
      <c r="C198" s="21" t="s">
        <v>124</v>
      </c>
      <c r="D198" s="24"/>
      <c r="E198" s="21" t="s">
        <v>747</v>
      </c>
      <c r="F198" s="52">
        <f>0.6*2.86</f>
        <v>1.716</v>
      </c>
      <c r="G198" s="24"/>
      <c r="H198" s="24"/>
      <c r="I198" s="50"/>
      <c r="J198" s="50"/>
      <c r="K198" s="24"/>
      <c r="L198" s="24"/>
      <c r="M198" s="24"/>
      <c r="N198" s="24"/>
      <c r="O198" s="24"/>
      <c r="P198" s="24"/>
      <c r="Q198" s="24"/>
      <c r="R198" s="24"/>
      <c r="S198" s="24"/>
      <c r="T198" s="24"/>
      <c r="U198" s="24"/>
      <c r="V198" s="24"/>
      <c r="W198" s="24"/>
      <c r="X198" s="24"/>
      <c r="Y198" s="24"/>
      <c r="Z198" s="24"/>
      <c r="AA198" s="24"/>
    </row>
    <row r="199">
      <c r="A199" s="24"/>
      <c r="B199" s="24"/>
      <c r="C199" s="21" t="s">
        <v>142</v>
      </c>
      <c r="D199" s="24"/>
      <c r="E199" s="21" t="s">
        <v>855</v>
      </c>
      <c r="F199" s="52">
        <f>1.4*2.34+0.8*1.3</f>
        <v>4.316</v>
      </c>
      <c r="G199" s="24"/>
      <c r="H199" s="24"/>
      <c r="I199" s="50"/>
      <c r="J199" s="50"/>
      <c r="K199" s="24"/>
      <c r="L199" s="24"/>
      <c r="M199" s="24"/>
      <c r="N199" s="24"/>
      <c r="O199" s="24"/>
      <c r="P199" s="24"/>
      <c r="Q199" s="24"/>
      <c r="R199" s="24"/>
      <c r="S199" s="24"/>
      <c r="T199" s="24"/>
      <c r="U199" s="24"/>
      <c r="V199" s="24"/>
      <c r="W199" s="24"/>
      <c r="X199" s="24"/>
      <c r="Y199" s="24"/>
      <c r="Z199" s="24"/>
      <c r="AA199" s="24"/>
    </row>
    <row r="200">
      <c r="A200" s="24"/>
      <c r="B200" s="24"/>
      <c r="C200" s="21" t="s">
        <v>164</v>
      </c>
      <c r="D200" s="24"/>
      <c r="E200" s="21" t="s">
        <v>201</v>
      </c>
      <c r="F200" s="52">
        <f>1.19*1.3</f>
        <v>1.547</v>
      </c>
      <c r="G200" s="24"/>
      <c r="H200" s="24"/>
      <c r="I200" s="50"/>
      <c r="J200" s="50"/>
      <c r="K200" s="24"/>
      <c r="L200" s="24"/>
      <c r="M200" s="24"/>
      <c r="N200" s="24"/>
      <c r="O200" s="24"/>
      <c r="P200" s="24"/>
      <c r="Q200" s="24"/>
      <c r="R200" s="24"/>
      <c r="S200" s="24"/>
      <c r="T200" s="24"/>
      <c r="U200" s="24"/>
      <c r="V200" s="24"/>
      <c r="W200" s="24"/>
      <c r="X200" s="24"/>
      <c r="Y200" s="24"/>
      <c r="Z200" s="24"/>
      <c r="AA200" s="24"/>
    </row>
    <row r="201">
      <c r="A201" s="24"/>
      <c r="B201" s="24"/>
      <c r="C201" s="21" t="s">
        <v>183</v>
      </c>
      <c r="D201" s="24"/>
      <c r="E201" s="21" t="s">
        <v>543</v>
      </c>
      <c r="F201" s="52">
        <f>0.13*0.8+0.06*0.07+0.08*0.03+0.24*0.14</f>
        <v>0.1442</v>
      </c>
      <c r="G201" s="24"/>
      <c r="H201" s="24"/>
      <c r="I201" s="50"/>
      <c r="J201" s="50"/>
      <c r="K201" s="24"/>
      <c r="L201" s="24"/>
      <c r="M201" s="24"/>
      <c r="N201" s="24"/>
      <c r="O201" s="24"/>
      <c r="P201" s="24"/>
      <c r="Q201" s="24"/>
      <c r="R201" s="24"/>
      <c r="S201" s="24"/>
      <c r="T201" s="24"/>
      <c r="U201" s="24"/>
      <c r="V201" s="24"/>
      <c r="W201" s="24"/>
      <c r="X201" s="24"/>
      <c r="Y201" s="24"/>
      <c r="Z201" s="24"/>
      <c r="AA201" s="24"/>
    </row>
    <row r="202">
      <c r="A202" s="24"/>
      <c r="B202" s="24"/>
      <c r="C202" s="21" t="s">
        <v>203</v>
      </c>
      <c r="D202" s="24"/>
      <c r="E202" s="21" t="s">
        <v>236</v>
      </c>
      <c r="F202" s="52">
        <f>0.31*0.32*4</f>
        <v>0.3968</v>
      </c>
      <c r="G202" s="24"/>
      <c r="H202" s="24"/>
      <c r="I202" s="50"/>
      <c r="J202" s="50"/>
      <c r="K202" s="24"/>
      <c r="L202" s="24"/>
      <c r="M202" s="24"/>
      <c r="N202" s="24"/>
      <c r="O202" s="24"/>
      <c r="P202" s="24"/>
      <c r="Q202" s="24"/>
      <c r="R202" s="24"/>
      <c r="S202" s="24"/>
      <c r="T202" s="24"/>
      <c r="U202" s="24"/>
      <c r="V202" s="24"/>
      <c r="W202" s="24"/>
      <c r="X202" s="24"/>
      <c r="Y202" s="24"/>
      <c r="Z202" s="24"/>
      <c r="AA202" s="24"/>
    </row>
    <row r="203">
      <c r="A203" s="24"/>
      <c r="B203" s="24"/>
      <c r="C203" s="21" t="s">
        <v>235</v>
      </c>
      <c r="D203" s="24"/>
      <c r="E203" s="21" t="s">
        <v>274</v>
      </c>
      <c r="F203" s="52">
        <f>0.36*0.41</f>
        <v>0.1476</v>
      </c>
      <c r="G203" s="24"/>
      <c r="H203" s="24"/>
      <c r="I203" s="50"/>
      <c r="J203" s="50"/>
      <c r="K203" s="24"/>
      <c r="L203" s="24"/>
      <c r="M203" s="24"/>
      <c r="N203" s="24"/>
      <c r="O203" s="24"/>
      <c r="P203" s="24"/>
      <c r="Q203" s="24"/>
      <c r="R203" s="24"/>
      <c r="S203" s="24"/>
      <c r="T203" s="24"/>
      <c r="U203" s="24"/>
      <c r="V203" s="24"/>
      <c r="W203" s="24"/>
      <c r="X203" s="24"/>
      <c r="Y203" s="24"/>
      <c r="Z203" s="24"/>
      <c r="AA203" s="24"/>
    </row>
    <row r="204">
      <c r="A204" s="24"/>
      <c r="B204" s="24"/>
      <c r="C204" s="21" t="s">
        <v>238</v>
      </c>
      <c r="D204" s="24"/>
      <c r="E204" s="21" t="s">
        <v>856</v>
      </c>
      <c r="F204" s="52">
        <f>0.09*0.08*2</f>
        <v>0.0144</v>
      </c>
      <c r="G204" s="24"/>
      <c r="H204" s="24"/>
      <c r="I204" s="50"/>
      <c r="J204" s="50"/>
      <c r="K204" s="24"/>
      <c r="L204" s="24"/>
      <c r="M204" s="24"/>
      <c r="N204" s="24"/>
      <c r="O204" s="24"/>
      <c r="P204" s="24"/>
      <c r="Q204" s="24"/>
      <c r="R204" s="24"/>
      <c r="S204" s="24"/>
      <c r="T204" s="24"/>
      <c r="U204" s="24"/>
      <c r="V204" s="24"/>
      <c r="W204" s="24"/>
      <c r="X204" s="24"/>
      <c r="Y204" s="24"/>
      <c r="Z204" s="24"/>
      <c r="AA204" s="24"/>
    </row>
    <row r="205">
      <c r="A205" s="24"/>
      <c r="B205" s="24"/>
      <c r="C205" s="21" t="s">
        <v>241</v>
      </c>
      <c r="D205" s="24"/>
      <c r="E205" s="21" t="s">
        <v>857</v>
      </c>
      <c r="F205" s="52">
        <f>0.21*0.13*2+0.37*0.37</f>
        <v>0.1915</v>
      </c>
      <c r="G205" s="24"/>
      <c r="H205" s="24"/>
      <c r="I205" s="50"/>
      <c r="J205" s="50"/>
      <c r="K205" s="24"/>
      <c r="L205" s="24"/>
      <c r="M205" s="24"/>
      <c r="N205" s="24"/>
      <c r="O205" s="24"/>
      <c r="P205" s="24"/>
      <c r="Q205" s="24"/>
      <c r="R205" s="24"/>
      <c r="S205" s="24"/>
      <c r="T205" s="24"/>
      <c r="U205" s="24"/>
      <c r="V205" s="24"/>
      <c r="W205" s="24"/>
      <c r="X205" s="24"/>
      <c r="Y205" s="24"/>
      <c r="Z205" s="24"/>
      <c r="AA205" s="24"/>
    </row>
    <row r="206">
      <c r="A206" s="24"/>
      <c r="B206" s="24"/>
      <c r="C206" s="21" t="s">
        <v>243</v>
      </c>
      <c r="D206" s="24"/>
      <c r="E206" s="21" t="s">
        <v>271</v>
      </c>
      <c r="F206" s="52">
        <f>0.85*1.2+0.9*0.9*0.5</f>
        <v>1.425</v>
      </c>
      <c r="G206" s="24"/>
      <c r="H206" s="24"/>
      <c r="I206" s="50"/>
      <c r="J206" s="50"/>
      <c r="K206" s="24"/>
      <c r="L206" s="24"/>
      <c r="M206" s="24"/>
      <c r="N206" s="24"/>
      <c r="O206" s="24"/>
      <c r="P206" s="24"/>
      <c r="Q206" s="24"/>
      <c r="R206" s="24"/>
      <c r="S206" s="24"/>
      <c r="T206" s="24"/>
      <c r="U206" s="24"/>
      <c r="V206" s="24"/>
      <c r="W206" s="24"/>
      <c r="X206" s="24"/>
      <c r="Y206" s="24"/>
      <c r="Z206" s="24"/>
      <c r="AA206" s="24"/>
    </row>
    <row r="207">
      <c r="A207" s="24"/>
      <c r="B207" s="24"/>
      <c r="C207" s="21" t="s">
        <v>246</v>
      </c>
      <c r="D207" s="24"/>
      <c r="E207" s="21" t="s">
        <v>582</v>
      </c>
      <c r="F207" s="49">
        <v>0.25</v>
      </c>
      <c r="G207" s="24"/>
      <c r="H207" s="24"/>
      <c r="I207" s="50"/>
      <c r="J207" s="50"/>
      <c r="K207" s="24"/>
      <c r="L207" s="24"/>
      <c r="M207" s="24"/>
      <c r="N207" s="24"/>
      <c r="O207" s="24"/>
      <c r="P207" s="24"/>
      <c r="Q207" s="24"/>
      <c r="R207" s="24"/>
      <c r="S207" s="24"/>
      <c r="T207" s="24"/>
      <c r="U207" s="24"/>
      <c r="V207" s="24"/>
      <c r="W207" s="24"/>
      <c r="X207" s="24"/>
      <c r="Y207" s="24"/>
      <c r="Z207" s="24"/>
      <c r="AA207" s="24"/>
    </row>
    <row r="208">
      <c r="A208" s="24"/>
      <c r="B208" s="24"/>
      <c r="C208" s="21" t="s">
        <v>249</v>
      </c>
      <c r="D208" s="24"/>
      <c r="E208" s="21" t="s">
        <v>858</v>
      </c>
      <c r="F208" s="52">
        <f>2.5*0.2</f>
        <v>0.5</v>
      </c>
      <c r="G208" s="24"/>
      <c r="H208" s="24"/>
      <c r="I208" s="50"/>
      <c r="J208" s="50"/>
      <c r="K208" s="24"/>
      <c r="L208" s="24"/>
      <c r="M208" s="24"/>
      <c r="N208" s="24"/>
      <c r="O208" s="24"/>
      <c r="P208" s="24"/>
      <c r="Q208" s="24"/>
      <c r="R208" s="24"/>
      <c r="S208" s="24"/>
      <c r="T208" s="24"/>
      <c r="U208" s="24"/>
      <c r="V208" s="24"/>
      <c r="W208" s="24"/>
      <c r="X208" s="24"/>
      <c r="Y208" s="24"/>
      <c r="Z208" s="24"/>
      <c r="AA208" s="24"/>
    </row>
    <row r="209">
      <c r="A209" s="24"/>
      <c r="B209" s="24"/>
      <c r="C209" s="21" t="s">
        <v>252</v>
      </c>
      <c r="D209" s="24"/>
      <c r="E209" s="21" t="s">
        <v>850</v>
      </c>
      <c r="F209" s="52">
        <f>0.7*0.55</f>
        <v>0.385</v>
      </c>
      <c r="G209" s="24"/>
      <c r="H209" s="24"/>
      <c r="I209" s="50"/>
      <c r="J209" s="50"/>
      <c r="K209" s="24"/>
      <c r="L209" s="24"/>
      <c r="M209" s="24"/>
      <c r="N209" s="24"/>
      <c r="O209" s="24"/>
      <c r="P209" s="24"/>
      <c r="Q209" s="24"/>
      <c r="R209" s="24"/>
      <c r="S209" s="24"/>
      <c r="T209" s="24"/>
      <c r="U209" s="24"/>
      <c r="V209" s="24"/>
      <c r="W209" s="24"/>
      <c r="X209" s="24"/>
      <c r="Y209" s="24"/>
      <c r="Z209" s="24"/>
      <c r="AA209" s="24"/>
    </row>
    <row r="210">
      <c r="A210" s="24"/>
      <c r="B210" s="24"/>
      <c r="C210" s="21" t="s">
        <v>255</v>
      </c>
      <c r="D210" s="24"/>
      <c r="E210" s="21" t="s">
        <v>383</v>
      </c>
      <c r="F210" s="52">
        <f>0.1*0.1</f>
        <v>0.01</v>
      </c>
      <c r="G210" s="24"/>
      <c r="H210" s="24"/>
      <c r="I210" s="50"/>
      <c r="J210" s="50"/>
      <c r="K210" s="24"/>
      <c r="L210" s="24"/>
      <c r="M210" s="24"/>
      <c r="N210" s="24"/>
      <c r="O210" s="24"/>
      <c r="P210" s="24"/>
      <c r="Q210" s="24"/>
      <c r="R210" s="24"/>
      <c r="S210" s="24"/>
      <c r="T210" s="24"/>
      <c r="U210" s="24"/>
      <c r="V210" s="24"/>
      <c r="W210" s="24"/>
      <c r="X210" s="24"/>
      <c r="Y210" s="24"/>
      <c r="Z210" s="24"/>
      <c r="AA210" s="24"/>
    </row>
    <row r="211">
      <c r="A211" s="18" t="s">
        <v>65</v>
      </c>
      <c r="B211" s="19">
        <v>46197.0</v>
      </c>
      <c r="C211" s="18" t="s">
        <v>99</v>
      </c>
      <c r="E211" s="18" t="s">
        <v>686</v>
      </c>
      <c r="F211" s="41">
        <f>0.3*0.25</f>
        <v>0.075</v>
      </c>
      <c r="I211" s="57" t="s">
        <v>836</v>
      </c>
      <c r="J211" s="47"/>
    </row>
    <row r="212">
      <c r="C212" s="18" t="s">
        <v>124</v>
      </c>
      <c r="E212" s="18" t="s">
        <v>247</v>
      </c>
      <c r="F212" s="29" t="s">
        <v>859</v>
      </c>
      <c r="I212" s="47"/>
      <c r="J212" s="47"/>
    </row>
    <row r="213">
      <c r="C213" s="18" t="s">
        <v>142</v>
      </c>
      <c r="E213" s="18" t="s">
        <v>860</v>
      </c>
      <c r="F213" s="29">
        <f>0.61*0.45+0.6*0.26</f>
        <v>0.4305</v>
      </c>
      <c r="I213" s="47"/>
      <c r="J213" s="47"/>
    </row>
    <row r="214">
      <c r="C214" s="18" t="s">
        <v>164</v>
      </c>
      <c r="E214" s="18" t="s">
        <v>201</v>
      </c>
      <c r="F214" s="41">
        <f>1.56*1.3*2</f>
        <v>4.056</v>
      </c>
      <c r="I214" s="47"/>
      <c r="J214" s="47"/>
    </row>
    <row r="215">
      <c r="C215" s="18" t="s">
        <v>183</v>
      </c>
      <c r="E215" s="18" t="s">
        <v>861</v>
      </c>
      <c r="F215" s="41">
        <f>0.36*0.22*2</f>
        <v>0.1584</v>
      </c>
      <c r="I215" s="47"/>
      <c r="J215" s="47"/>
    </row>
    <row r="216">
      <c r="C216" s="18" t="s">
        <v>203</v>
      </c>
      <c r="E216" s="18" t="s">
        <v>747</v>
      </c>
      <c r="F216" s="41">
        <f>4.42*0.52</f>
        <v>2.2984</v>
      </c>
      <c r="I216" s="47"/>
      <c r="J216" s="47"/>
    </row>
    <row r="217">
      <c r="C217" s="18" t="s">
        <v>235</v>
      </c>
      <c r="D217" s="18" t="s">
        <v>334</v>
      </c>
      <c r="E217" s="18" t="s">
        <v>208</v>
      </c>
      <c r="F217" s="41">
        <f>0.3*0.28+0.1*0.11*4</f>
        <v>0.128</v>
      </c>
      <c r="I217" s="47"/>
      <c r="J217" s="47"/>
    </row>
    <row r="218">
      <c r="C218" s="18" t="s">
        <v>238</v>
      </c>
      <c r="E218" s="18" t="s">
        <v>383</v>
      </c>
      <c r="F218" s="41">
        <f>0.05*0.05*2</f>
        <v>0.005</v>
      </c>
      <c r="I218" s="47"/>
      <c r="J218" s="47"/>
    </row>
    <row r="219">
      <c r="C219" s="18" t="s">
        <v>241</v>
      </c>
      <c r="E219" s="18" t="s">
        <v>862</v>
      </c>
      <c r="F219" s="41">
        <f>0.12*0.13*2</f>
        <v>0.0312</v>
      </c>
      <c r="I219" s="47"/>
      <c r="J219" s="47"/>
    </row>
    <row r="220">
      <c r="C220" s="18" t="s">
        <v>243</v>
      </c>
      <c r="E220" s="18" t="s">
        <v>863</v>
      </c>
      <c r="F220" s="41">
        <f>0.1*0.1*2</f>
        <v>0.02</v>
      </c>
      <c r="I220" s="47"/>
      <c r="J220" s="47"/>
    </row>
    <row r="221">
      <c r="C221" s="18" t="s">
        <v>249</v>
      </c>
      <c r="E221" s="18" t="s">
        <v>845</v>
      </c>
      <c r="F221" s="41">
        <f>0.53*0.53*2+0.56*0.45+0.83*0.59</f>
        <v>1.3035</v>
      </c>
      <c r="I221" s="47"/>
      <c r="J221" s="47"/>
    </row>
    <row r="222">
      <c r="C222" s="18" t="s">
        <v>252</v>
      </c>
      <c r="E222" s="18" t="s">
        <v>841</v>
      </c>
      <c r="F222" s="41">
        <f>2.6*1.3</f>
        <v>3.38</v>
      </c>
      <c r="I222" s="47"/>
      <c r="J222" s="47"/>
    </row>
    <row r="223">
      <c r="C223" s="18" t="s">
        <v>258</v>
      </c>
      <c r="E223" s="18" t="s">
        <v>253</v>
      </c>
      <c r="F223" s="41">
        <f>2*0.7</f>
        <v>1.4</v>
      </c>
      <c r="I223" s="47"/>
      <c r="J223" s="47"/>
    </row>
    <row r="224">
      <c r="C224" s="18" t="s">
        <v>260</v>
      </c>
      <c r="E224" s="18" t="s">
        <v>250</v>
      </c>
      <c r="F224" s="41">
        <f>0.8*0.4</f>
        <v>0.32</v>
      </c>
      <c r="I224" s="47"/>
      <c r="J224" s="47"/>
    </row>
    <row r="225">
      <c r="C225" s="18" t="s">
        <v>262</v>
      </c>
      <c r="D225" s="18" t="s">
        <v>320</v>
      </c>
      <c r="F225" s="41">
        <f>0.45*0.3</f>
        <v>0.135</v>
      </c>
      <c r="I225" s="47"/>
      <c r="J225" s="47"/>
    </row>
    <row r="226">
      <c r="C226" s="18" t="s">
        <v>264</v>
      </c>
      <c r="D226" s="18" t="s">
        <v>146</v>
      </c>
      <c r="F226" s="41">
        <f>1.1*1.1*7</f>
        <v>8.47</v>
      </c>
      <c r="I226" s="47"/>
      <c r="J226" s="47"/>
    </row>
    <row r="227">
      <c r="C227" s="18" t="s">
        <v>266</v>
      </c>
      <c r="E227" s="18" t="s">
        <v>864</v>
      </c>
      <c r="F227" s="41">
        <f>1.3*1.3*8</f>
        <v>13.52</v>
      </c>
      <c r="I227" s="47"/>
      <c r="J227" s="47"/>
    </row>
    <row r="228">
      <c r="C228" s="18" t="s">
        <v>268</v>
      </c>
      <c r="E228" s="18" t="s">
        <v>865</v>
      </c>
      <c r="F228" s="41">
        <f>1*0.86+0.66*0.66</f>
        <v>1.2956</v>
      </c>
      <c r="I228" s="47"/>
      <c r="J228" s="47"/>
    </row>
    <row r="229">
      <c r="C229" s="18" t="s">
        <v>270</v>
      </c>
      <c r="E229" s="18" t="s">
        <v>866</v>
      </c>
      <c r="F229" s="41">
        <f>0.33*0.48</f>
        <v>0.1584</v>
      </c>
      <c r="I229" s="47"/>
      <c r="J229" s="47"/>
    </row>
    <row r="230">
      <c r="C230" s="18" t="s">
        <v>273</v>
      </c>
      <c r="E230" s="18" t="s">
        <v>282</v>
      </c>
      <c r="F230" s="41">
        <f>0.72*0.76+0.11*0.13</f>
        <v>0.5615</v>
      </c>
      <c r="I230" s="47"/>
      <c r="J230" s="47"/>
    </row>
    <row r="231">
      <c r="C231" s="18" t="s">
        <v>276</v>
      </c>
      <c r="E231" s="18" t="s">
        <v>867</v>
      </c>
      <c r="F231" s="41">
        <f>0.36*0.36*3</f>
        <v>0.3888</v>
      </c>
      <c r="I231" s="47"/>
      <c r="J231" s="47"/>
    </row>
    <row r="232">
      <c r="C232" s="18" t="s">
        <v>279</v>
      </c>
      <c r="E232" s="18" t="s">
        <v>417</v>
      </c>
      <c r="F232" s="41">
        <f>0.65*0.31</f>
        <v>0.2015</v>
      </c>
      <c r="I232" s="47"/>
      <c r="J232" s="47"/>
    </row>
    <row r="233">
      <c r="C233" s="18" t="s">
        <v>281</v>
      </c>
      <c r="E233" s="18" t="s">
        <v>868</v>
      </c>
      <c r="F233" s="41">
        <f>0.24*0.23</f>
        <v>0.0552</v>
      </c>
      <c r="I233" s="47"/>
      <c r="J233" s="47"/>
    </row>
    <row r="234">
      <c r="C234" s="18" t="s">
        <v>284</v>
      </c>
      <c r="E234" s="18" t="s">
        <v>435</v>
      </c>
      <c r="F234" s="41">
        <f>0.24*0.22</f>
        <v>0.0528</v>
      </c>
      <c r="I234" s="47"/>
      <c r="J234" s="47"/>
    </row>
    <row r="235">
      <c r="C235" s="18" t="s">
        <v>286</v>
      </c>
      <c r="E235" s="18" t="s">
        <v>869</v>
      </c>
      <c r="F235" s="41">
        <f>0.07*0.05</f>
        <v>0.0035</v>
      </c>
      <c r="I235" s="47"/>
      <c r="J235" s="47"/>
    </row>
    <row r="236">
      <c r="C236" s="18" t="s">
        <v>288</v>
      </c>
      <c r="E236" s="18" t="s">
        <v>870</v>
      </c>
      <c r="F236" s="41">
        <f>0.1*0.1*6</f>
        <v>0.06</v>
      </c>
      <c r="I236" s="47"/>
      <c r="J236" s="47"/>
    </row>
    <row r="237">
      <c r="C237" s="18" t="s">
        <v>291</v>
      </c>
      <c r="E237" s="18" t="s">
        <v>871</v>
      </c>
      <c r="F237" s="41">
        <f>0.11*0.11*2</f>
        <v>0.0242</v>
      </c>
      <c r="I237" s="47"/>
      <c r="J237" s="47"/>
    </row>
    <row r="238">
      <c r="C238" s="18" t="s">
        <v>293</v>
      </c>
      <c r="E238" s="18" t="s">
        <v>872</v>
      </c>
      <c r="F238" s="41">
        <f>0.11*0.11*4</f>
        <v>0.0484</v>
      </c>
      <c r="I238" s="47"/>
      <c r="J238" s="47"/>
    </row>
    <row r="239">
      <c r="C239" s="18" t="s">
        <v>296</v>
      </c>
      <c r="E239" s="18" t="s">
        <v>873</v>
      </c>
      <c r="F239" s="41">
        <f>0.1*0.1*5</f>
        <v>0.05</v>
      </c>
      <c r="I239" s="47"/>
      <c r="J239" s="47"/>
    </row>
    <row r="240">
      <c r="C240" s="18" t="s">
        <v>299</v>
      </c>
      <c r="E240" s="18" t="s">
        <v>874</v>
      </c>
      <c r="F240" s="41">
        <f>0.25*0.18+0.38*0.55</f>
        <v>0.254</v>
      </c>
      <c r="I240" s="47"/>
      <c r="J240" s="47"/>
    </row>
    <row r="241">
      <c r="C241" s="18" t="s">
        <v>302</v>
      </c>
      <c r="E241" s="18" t="s">
        <v>274</v>
      </c>
      <c r="F241" s="41">
        <f>0.05*0.06</f>
        <v>0.003</v>
      </c>
      <c r="I241" s="47"/>
      <c r="J241" s="47"/>
    </row>
    <row r="242">
      <c r="C242" s="18" t="s">
        <v>304</v>
      </c>
      <c r="E242" s="18" t="s">
        <v>718</v>
      </c>
      <c r="F242" s="41">
        <f>0.87*0.66</f>
        <v>0.5742</v>
      </c>
      <c r="I242" s="47"/>
      <c r="J242" s="47"/>
    </row>
    <row r="243">
      <c r="A243" s="21" t="s">
        <v>24</v>
      </c>
      <c r="B243" s="22">
        <v>46198.0</v>
      </c>
      <c r="C243" s="21" t="s">
        <v>99</v>
      </c>
      <c r="D243" s="24"/>
      <c r="E243" s="21" t="s">
        <v>201</v>
      </c>
      <c r="F243" s="52">
        <f>1*1.5*2</f>
        <v>3</v>
      </c>
      <c r="G243" s="24"/>
      <c r="H243" s="24"/>
      <c r="I243" s="50"/>
      <c r="J243" s="50"/>
      <c r="K243" s="24"/>
      <c r="L243" s="24"/>
      <c r="M243" s="24"/>
      <c r="N243" s="24"/>
      <c r="O243" s="24"/>
      <c r="P243" s="24"/>
      <c r="Q243" s="24"/>
      <c r="R243" s="24"/>
      <c r="S243" s="24"/>
      <c r="T243" s="24"/>
      <c r="U243" s="24"/>
      <c r="V243" s="24"/>
      <c r="W243" s="24"/>
      <c r="X243" s="24"/>
      <c r="Y243" s="24"/>
      <c r="Z243" s="24"/>
      <c r="AA243" s="24"/>
    </row>
    <row r="244">
      <c r="A244" s="24"/>
      <c r="B244" s="24"/>
      <c r="C244" s="21" t="s">
        <v>124</v>
      </c>
      <c r="D244" s="24"/>
      <c r="E244" s="21" t="s">
        <v>875</v>
      </c>
      <c r="F244" s="52">
        <f>0.7*0.9*7</f>
        <v>4.41</v>
      </c>
      <c r="G244" s="24"/>
      <c r="H244" s="24"/>
      <c r="I244" s="50"/>
      <c r="J244" s="50"/>
      <c r="K244" s="24"/>
      <c r="L244" s="24"/>
      <c r="M244" s="24"/>
      <c r="N244" s="24"/>
      <c r="O244" s="24"/>
      <c r="P244" s="24"/>
      <c r="Q244" s="24"/>
      <c r="R244" s="24"/>
      <c r="S244" s="24"/>
      <c r="T244" s="24"/>
      <c r="U244" s="24"/>
      <c r="V244" s="24"/>
      <c r="W244" s="24"/>
      <c r="X244" s="24"/>
      <c r="Y244" s="24"/>
      <c r="Z244" s="24"/>
      <c r="AA244" s="24"/>
    </row>
    <row r="245">
      <c r="A245" s="24"/>
      <c r="B245" s="24"/>
      <c r="C245" s="21" t="s">
        <v>142</v>
      </c>
      <c r="D245" s="24"/>
      <c r="E245" s="21" t="s">
        <v>274</v>
      </c>
      <c r="F245" s="52">
        <f>0.25*0.2*12</f>
        <v>0.6</v>
      </c>
      <c r="G245" s="24"/>
      <c r="H245" s="24"/>
      <c r="I245" s="50"/>
      <c r="J245" s="50"/>
      <c r="K245" s="24"/>
      <c r="L245" s="24"/>
      <c r="M245" s="24"/>
      <c r="N245" s="24"/>
      <c r="O245" s="24"/>
      <c r="P245" s="24"/>
      <c r="Q245" s="24"/>
      <c r="R245" s="24"/>
      <c r="S245" s="24"/>
      <c r="T245" s="24"/>
      <c r="U245" s="24"/>
      <c r="V245" s="24"/>
      <c r="W245" s="24"/>
      <c r="X245" s="24"/>
      <c r="Y245" s="24"/>
      <c r="Z245" s="24"/>
      <c r="AA245" s="24"/>
    </row>
    <row r="246">
      <c r="A246" s="24"/>
      <c r="B246" s="24"/>
      <c r="C246" s="21" t="s">
        <v>164</v>
      </c>
      <c r="D246" s="24"/>
      <c r="E246" s="21" t="s">
        <v>543</v>
      </c>
      <c r="F246" s="52">
        <f>1*0.7+0.6*0.65+0.95^2</f>
        <v>1.9925</v>
      </c>
      <c r="G246" s="24"/>
      <c r="H246" s="24"/>
      <c r="I246" s="50"/>
      <c r="J246" s="50"/>
      <c r="K246" s="24"/>
      <c r="L246" s="24"/>
      <c r="M246" s="24"/>
      <c r="N246" s="24"/>
      <c r="O246" s="24"/>
      <c r="P246" s="24"/>
      <c r="Q246" s="24"/>
      <c r="R246" s="24"/>
      <c r="S246" s="24"/>
      <c r="T246" s="24"/>
      <c r="U246" s="24"/>
      <c r="V246" s="24"/>
      <c r="W246" s="24"/>
      <c r="X246" s="24"/>
      <c r="Y246" s="24"/>
      <c r="Z246" s="24"/>
      <c r="AA246" s="24"/>
    </row>
    <row r="247">
      <c r="A247" s="24"/>
      <c r="B247" s="24"/>
      <c r="C247" s="21" t="s">
        <v>183</v>
      </c>
      <c r="D247" s="24"/>
      <c r="E247" s="21" t="s">
        <v>876</v>
      </c>
      <c r="F247" s="52">
        <f>0.2^2</f>
        <v>0.04</v>
      </c>
      <c r="G247" s="24"/>
      <c r="H247" s="24"/>
      <c r="I247" s="50"/>
      <c r="J247" s="50"/>
      <c r="K247" s="24"/>
      <c r="L247" s="24"/>
      <c r="M247" s="24"/>
      <c r="N247" s="24"/>
      <c r="O247" s="24"/>
      <c r="P247" s="24"/>
      <c r="Q247" s="24"/>
      <c r="R247" s="24"/>
      <c r="S247" s="24"/>
      <c r="T247" s="24"/>
      <c r="U247" s="24"/>
      <c r="V247" s="24"/>
      <c r="W247" s="24"/>
      <c r="X247" s="24"/>
      <c r="Y247" s="24"/>
      <c r="Z247" s="24"/>
      <c r="AA247" s="24"/>
    </row>
    <row r="248">
      <c r="A248" s="24"/>
      <c r="B248" s="24"/>
      <c r="C248" s="21" t="s">
        <v>203</v>
      </c>
      <c r="D248" s="24"/>
      <c r="E248" s="21" t="s">
        <v>877</v>
      </c>
      <c r="F248" s="52">
        <f>0.1*0.1</f>
        <v>0.01</v>
      </c>
      <c r="G248" s="24"/>
      <c r="H248" s="24"/>
      <c r="I248" s="50"/>
      <c r="J248" s="50"/>
      <c r="K248" s="24"/>
      <c r="L248" s="24"/>
      <c r="M248" s="24"/>
      <c r="N248" s="24"/>
      <c r="O248" s="24"/>
      <c r="P248" s="24"/>
      <c r="Q248" s="24"/>
      <c r="R248" s="24"/>
      <c r="S248" s="24"/>
      <c r="T248" s="24"/>
      <c r="U248" s="24"/>
      <c r="V248" s="24"/>
      <c r="W248" s="24"/>
      <c r="X248" s="24"/>
      <c r="Y248" s="24"/>
      <c r="Z248" s="24"/>
      <c r="AA248" s="24"/>
    </row>
    <row r="249">
      <c r="A249" s="24"/>
      <c r="B249" s="24"/>
      <c r="C249" s="21" t="s">
        <v>235</v>
      </c>
      <c r="D249" s="24"/>
      <c r="E249" s="21" t="s">
        <v>878</v>
      </c>
      <c r="F249" s="52">
        <f>0.3*0.15</f>
        <v>0.045</v>
      </c>
      <c r="G249" s="24"/>
      <c r="H249" s="24"/>
      <c r="I249" s="50"/>
      <c r="J249" s="50"/>
      <c r="K249" s="24"/>
      <c r="L249" s="24"/>
      <c r="M249" s="24"/>
      <c r="N249" s="24"/>
      <c r="O249" s="24"/>
      <c r="P249" s="24"/>
      <c r="Q249" s="24"/>
      <c r="R249" s="24"/>
      <c r="S249" s="24"/>
      <c r="T249" s="24"/>
      <c r="U249" s="24"/>
      <c r="V249" s="24"/>
      <c r="W249" s="24"/>
      <c r="X249" s="24"/>
      <c r="Y249" s="24"/>
      <c r="Z249" s="24"/>
      <c r="AA249" s="24"/>
    </row>
    <row r="250">
      <c r="A250" s="24"/>
      <c r="B250" s="24"/>
      <c r="C250" s="21" t="s">
        <v>238</v>
      </c>
      <c r="D250" s="24"/>
      <c r="E250" s="21" t="s">
        <v>391</v>
      </c>
      <c r="F250" s="52">
        <f>0.85*1.15</f>
        <v>0.9775</v>
      </c>
      <c r="G250" s="24"/>
      <c r="H250" s="24"/>
      <c r="I250" s="50"/>
      <c r="J250" s="50"/>
      <c r="K250" s="24"/>
      <c r="L250" s="24"/>
      <c r="M250" s="24"/>
      <c r="N250" s="24"/>
      <c r="O250" s="24"/>
      <c r="P250" s="24"/>
      <c r="Q250" s="24"/>
      <c r="R250" s="24"/>
      <c r="S250" s="24"/>
      <c r="T250" s="24"/>
      <c r="U250" s="24"/>
      <c r="V250" s="24"/>
      <c r="W250" s="24"/>
      <c r="X250" s="24"/>
      <c r="Y250" s="24"/>
      <c r="Z250" s="24"/>
      <c r="AA250" s="24"/>
    </row>
    <row r="251">
      <c r="A251" s="24"/>
      <c r="B251" s="24"/>
      <c r="C251" s="21" t="s">
        <v>241</v>
      </c>
      <c r="D251" s="24"/>
      <c r="E251" s="21" t="s">
        <v>524</v>
      </c>
      <c r="F251" s="52">
        <f>0.3*0.3*16+0.55*1.6+1.9*0.55+0.95*1.9+1.4*1.9</f>
        <v>7.83</v>
      </c>
      <c r="G251" s="24"/>
      <c r="H251" s="24"/>
      <c r="I251" s="50"/>
      <c r="J251" s="50"/>
      <c r="K251" s="24"/>
      <c r="L251" s="24"/>
      <c r="M251" s="24"/>
      <c r="N251" s="24"/>
      <c r="O251" s="24"/>
      <c r="P251" s="24"/>
      <c r="Q251" s="24"/>
      <c r="R251" s="24"/>
      <c r="S251" s="24"/>
      <c r="T251" s="24"/>
      <c r="U251" s="24"/>
      <c r="V251" s="24"/>
      <c r="W251" s="24"/>
      <c r="X251" s="24"/>
      <c r="Y251" s="24"/>
      <c r="Z251" s="24"/>
      <c r="AA251" s="24"/>
    </row>
    <row r="252">
      <c r="A252" s="24"/>
      <c r="B252" s="24"/>
      <c r="C252" s="21" t="s">
        <v>243</v>
      </c>
      <c r="D252" s="24"/>
      <c r="E252" s="21" t="s">
        <v>531</v>
      </c>
      <c r="F252" s="52">
        <f>0.1*0.1*4</f>
        <v>0.04</v>
      </c>
      <c r="G252" s="24"/>
      <c r="H252" s="24"/>
      <c r="I252" s="50"/>
      <c r="J252" s="50"/>
      <c r="K252" s="24"/>
      <c r="L252" s="24"/>
      <c r="M252" s="24"/>
      <c r="N252" s="24"/>
      <c r="O252" s="24"/>
      <c r="P252" s="24"/>
      <c r="Q252" s="24"/>
      <c r="R252" s="24"/>
      <c r="S252" s="24"/>
      <c r="T252" s="24"/>
      <c r="U252" s="24"/>
      <c r="V252" s="24"/>
      <c r="W252" s="24"/>
      <c r="X252" s="24"/>
      <c r="Y252" s="24"/>
      <c r="Z252" s="24"/>
      <c r="AA252" s="24"/>
    </row>
    <row r="253">
      <c r="A253" s="24"/>
      <c r="B253" s="24"/>
      <c r="C253" s="21" t="s">
        <v>246</v>
      </c>
      <c r="D253" s="24"/>
      <c r="E253" s="21" t="s">
        <v>770</v>
      </c>
      <c r="F253" s="52">
        <f>0.75*0.38*1.1*0.2</f>
        <v>0.0627</v>
      </c>
      <c r="G253" s="24"/>
      <c r="H253" s="24"/>
      <c r="I253" s="50"/>
      <c r="J253" s="50"/>
      <c r="K253" s="24"/>
      <c r="L253" s="24"/>
      <c r="M253" s="24"/>
      <c r="N253" s="24"/>
      <c r="O253" s="24"/>
      <c r="P253" s="24"/>
      <c r="Q253" s="24"/>
      <c r="R253" s="24"/>
      <c r="S253" s="24"/>
      <c r="T253" s="24"/>
      <c r="U253" s="24"/>
      <c r="V253" s="24"/>
      <c r="W253" s="24"/>
      <c r="X253" s="24"/>
      <c r="Y253" s="24"/>
      <c r="Z253" s="24"/>
      <c r="AA253" s="24"/>
    </row>
    <row r="254">
      <c r="A254" s="24"/>
      <c r="B254" s="24"/>
      <c r="C254" s="21" t="s">
        <v>249</v>
      </c>
      <c r="D254" s="24"/>
      <c r="E254" s="21" t="s">
        <v>227</v>
      </c>
      <c r="F254" s="52">
        <f>0.35*0.35*50</f>
        <v>6.125</v>
      </c>
      <c r="G254" s="24"/>
      <c r="H254" s="24"/>
      <c r="I254" s="50"/>
      <c r="J254" s="50"/>
      <c r="K254" s="24"/>
      <c r="L254" s="24"/>
      <c r="M254" s="24"/>
      <c r="N254" s="24"/>
      <c r="O254" s="24"/>
      <c r="P254" s="24"/>
      <c r="Q254" s="24"/>
      <c r="R254" s="24"/>
      <c r="S254" s="24"/>
      <c r="T254" s="24"/>
      <c r="U254" s="24"/>
      <c r="V254" s="24"/>
      <c r="W254" s="24"/>
      <c r="X254" s="24"/>
      <c r="Y254" s="24"/>
      <c r="Z254" s="24"/>
      <c r="AA254" s="24"/>
    </row>
    <row r="255">
      <c r="A255" s="24"/>
      <c r="B255" s="24"/>
      <c r="C255" s="21" t="s">
        <v>252</v>
      </c>
      <c r="D255" s="24"/>
      <c r="E255" s="21" t="s">
        <v>879</v>
      </c>
      <c r="F255" s="52">
        <f>0.1*0.1*7</f>
        <v>0.07</v>
      </c>
      <c r="G255" s="24"/>
      <c r="H255" s="24"/>
      <c r="I255" s="50"/>
      <c r="J255" s="50"/>
      <c r="K255" s="24"/>
      <c r="L255" s="24"/>
      <c r="M255" s="24"/>
      <c r="N255" s="24"/>
      <c r="O255" s="24"/>
      <c r="P255" s="24"/>
      <c r="Q255" s="24"/>
      <c r="R255" s="24"/>
      <c r="S255" s="24"/>
      <c r="T255" s="24"/>
      <c r="U255" s="24"/>
      <c r="V255" s="24"/>
      <c r="W255" s="24"/>
      <c r="X255" s="24"/>
      <c r="Y255" s="24"/>
      <c r="Z255" s="24"/>
      <c r="AA255" s="24"/>
    </row>
    <row r="256">
      <c r="A256" s="24"/>
      <c r="B256" s="24"/>
      <c r="C256" s="21" t="s">
        <v>255</v>
      </c>
      <c r="D256" s="24"/>
      <c r="E256" s="21" t="s">
        <v>312</v>
      </c>
      <c r="F256" s="52">
        <f>1.9*4.33+1.9*1.4+0.5*0.5+1.9*2.7+1.6*0.3+0.28*0.44*5+1.9*1.9</f>
        <v>20.973</v>
      </c>
      <c r="G256" s="24"/>
      <c r="H256" s="24"/>
      <c r="I256" s="50"/>
      <c r="J256" s="50"/>
      <c r="K256" s="24"/>
      <c r="L256" s="24"/>
      <c r="M256" s="24"/>
      <c r="N256" s="24"/>
      <c r="O256" s="24"/>
      <c r="P256" s="24"/>
      <c r="Q256" s="24"/>
      <c r="R256" s="24"/>
      <c r="S256" s="24"/>
      <c r="T256" s="24"/>
      <c r="U256" s="24"/>
      <c r="V256" s="24"/>
      <c r="W256" s="24"/>
      <c r="X256" s="24"/>
      <c r="Y256" s="24"/>
      <c r="Z256" s="24"/>
      <c r="AA256" s="24"/>
    </row>
    <row r="257">
      <c r="A257" s="24"/>
      <c r="B257" s="24"/>
      <c r="C257" s="21" t="s">
        <v>258</v>
      </c>
      <c r="D257" s="24"/>
      <c r="E257" s="21" t="s">
        <v>307</v>
      </c>
      <c r="F257" s="52">
        <f>0.65*1.4+1.2*0.35</f>
        <v>1.33</v>
      </c>
      <c r="G257" s="24"/>
      <c r="H257" s="24"/>
      <c r="I257" s="50"/>
      <c r="J257" s="50"/>
      <c r="K257" s="24"/>
      <c r="L257" s="24"/>
      <c r="M257" s="24"/>
      <c r="N257" s="24"/>
      <c r="O257" s="24"/>
      <c r="P257" s="24"/>
      <c r="Q257" s="24"/>
      <c r="R257" s="24"/>
      <c r="S257" s="24"/>
      <c r="T257" s="24"/>
      <c r="U257" s="24"/>
      <c r="V257" s="24"/>
      <c r="W257" s="24"/>
      <c r="X257" s="24"/>
      <c r="Y257" s="24"/>
      <c r="Z257" s="24"/>
      <c r="AA257" s="24"/>
    </row>
    <row r="258">
      <c r="A258" s="24"/>
      <c r="B258" s="24"/>
      <c r="C258" s="21" t="s">
        <v>260</v>
      </c>
      <c r="D258" s="24"/>
      <c r="E258" s="21" t="s">
        <v>880</v>
      </c>
      <c r="F258" s="52">
        <f>0.3*0.1*2</f>
        <v>0.06</v>
      </c>
      <c r="G258" s="24"/>
      <c r="H258" s="24"/>
      <c r="I258" s="50"/>
      <c r="J258" s="50"/>
      <c r="K258" s="24"/>
      <c r="L258" s="24"/>
      <c r="M258" s="24"/>
      <c r="N258" s="24"/>
      <c r="O258" s="24"/>
      <c r="P258" s="24"/>
      <c r="Q258" s="24"/>
      <c r="R258" s="24"/>
      <c r="S258" s="24"/>
      <c r="T258" s="24"/>
      <c r="U258" s="24"/>
      <c r="V258" s="24"/>
      <c r="W258" s="24"/>
      <c r="X258" s="24"/>
      <c r="Y258" s="24"/>
      <c r="Z258" s="24"/>
      <c r="AA258" s="24"/>
    </row>
    <row r="259">
      <c r="A259" s="24"/>
      <c r="B259" s="24"/>
      <c r="C259" s="21" t="s">
        <v>262</v>
      </c>
      <c r="D259" s="24"/>
      <c r="E259" s="21" t="s">
        <v>414</v>
      </c>
      <c r="F259" s="52">
        <f>0.2*0.2*21</f>
        <v>0.84</v>
      </c>
      <c r="G259" s="24"/>
      <c r="H259" s="24"/>
      <c r="I259" s="50"/>
      <c r="J259" s="50"/>
      <c r="K259" s="24"/>
      <c r="L259" s="24"/>
      <c r="M259" s="24"/>
      <c r="N259" s="24"/>
      <c r="O259" s="24"/>
      <c r="P259" s="24"/>
      <c r="Q259" s="24"/>
      <c r="R259" s="24"/>
      <c r="S259" s="24"/>
      <c r="T259" s="24"/>
      <c r="U259" s="24"/>
      <c r="V259" s="24"/>
      <c r="W259" s="24"/>
      <c r="X259" s="24"/>
      <c r="Y259" s="24"/>
      <c r="Z259" s="24"/>
      <c r="AA259" s="24"/>
    </row>
    <row r="260">
      <c r="A260" s="24"/>
      <c r="B260" s="24"/>
      <c r="C260" s="21" t="s">
        <v>264</v>
      </c>
      <c r="D260" s="24"/>
      <c r="E260" s="21" t="s">
        <v>698</v>
      </c>
      <c r="F260" s="49" t="s">
        <v>98</v>
      </c>
      <c r="G260" s="24"/>
      <c r="H260" s="24"/>
      <c r="I260" s="50"/>
      <c r="J260" s="50"/>
      <c r="K260" s="24"/>
      <c r="L260" s="24"/>
      <c r="M260" s="24"/>
      <c r="N260" s="24"/>
      <c r="O260" s="24"/>
      <c r="P260" s="24"/>
      <c r="Q260" s="24"/>
      <c r="R260" s="24"/>
      <c r="S260" s="24"/>
      <c r="T260" s="24"/>
      <c r="U260" s="24"/>
      <c r="V260" s="24"/>
      <c r="W260" s="24"/>
      <c r="X260" s="24"/>
      <c r="Y260" s="24"/>
      <c r="Z260" s="24"/>
      <c r="AA260" s="24"/>
    </row>
    <row r="261">
      <c r="A261" s="24"/>
      <c r="B261" s="24"/>
      <c r="C261" s="21" t="s">
        <v>266</v>
      </c>
      <c r="D261" s="24"/>
      <c r="E261" s="21" t="s">
        <v>881</v>
      </c>
      <c r="F261" s="52">
        <f>0.1*0.1+1.3*0.5+0.3*0.3+0.5^2+0.7*2.7</f>
        <v>2.89</v>
      </c>
      <c r="G261" s="24"/>
      <c r="H261" s="24"/>
      <c r="I261" s="50"/>
      <c r="J261" s="50"/>
      <c r="K261" s="24"/>
      <c r="L261" s="24"/>
      <c r="M261" s="24"/>
      <c r="N261" s="24"/>
      <c r="O261" s="24"/>
      <c r="P261" s="24"/>
      <c r="Q261" s="24"/>
      <c r="R261" s="24"/>
      <c r="S261" s="24"/>
      <c r="T261" s="24"/>
      <c r="U261" s="24"/>
      <c r="V261" s="24"/>
      <c r="W261" s="24"/>
      <c r="X261" s="24"/>
      <c r="Y261" s="24"/>
      <c r="Z261" s="24"/>
      <c r="AA261" s="24"/>
    </row>
    <row r="262">
      <c r="A262" s="24"/>
      <c r="B262" s="24"/>
      <c r="C262" s="21" t="s">
        <v>268</v>
      </c>
      <c r="D262" s="24"/>
      <c r="E262" s="21" t="s">
        <v>718</v>
      </c>
      <c r="F262" s="52">
        <f>0.25*0.1+5*4.2</f>
        <v>21.025</v>
      </c>
      <c r="G262" s="24"/>
      <c r="H262" s="24"/>
      <c r="I262" s="50"/>
      <c r="J262" s="50"/>
      <c r="K262" s="24"/>
      <c r="L262" s="24"/>
      <c r="M262" s="24"/>
      <c r="N262" s="24"/>
      <c r="O262" s="24"/>
      <c r="P262" s="24"/>
      <c r="Q262" s="24"/>
      <c r="R262" s="24"/>
      <c r="S262" s="24"/>
      <c r="T262" s="24"/>
      <c r="U262" s="24"/>
      <c r="V262" s="24"/>
      <c r="W262" s="24"/>
      <c r="X262" s="24"/>
      <c r="Y262" s="24"/>
      <c r="Z262" s="24"/>
      <c r="AA262" s="24"/>
    </row>
    <row r="263">
      <c r="A263" s="24"/>
      <c r="B263" s="24"/>
      <c r="C263" s="21" t="s">
        <v>270</v>
      </c>
      <c r="D263" s="24"/>
      <c r="E263" s="21" t="s">
        <v>320</v>
      </c>
      <c r="F263" s="52">
        <f>0.1*0.1*7</f>
        <v>0.07</v>
      </c>
      <c r="G263" s="24"/>
      <c r="H263" s="24"/>
      <c r="I263" s="50"/>
      <c r="J263" s="50"/>
      <c r="K263" s="24"/>
      <c r="L263" s="24"/>
      <c r="M263" s="24"/>
      <c r="N263" s="24"/>
      <c r="O263" s="24"/>
      <c r="P263" s="24"/>
      <c r="Q263" s="24"/>
      <c r="R263" s="24"/>
      <c r="S263" s="24"/>
      <c r="T263" s="24"/>
      <c r="U263" s="24"/>
      <c r="V263" s="24"/>
      <c r="W263" s="24"/>
      <c r="X263" s="24"/>
      <c r="Y263" s="24"/>
      <c r="Z263" s="24"/>
      <c r="AA263" s="24"/>
    </row>
    <row r="264">
      <c r="A264" s="24"/>
      <c r="B264" s="24"/>
      <c r="C264" s="21" t="s">
        <v>273</v>
      </c>
      <c r="D264" s="24"/>
      <c r="E264" s="21" t="s">
        <v>882</v>
      </c>
      <c r="F264" s="52">
        <f>0.65*0.9</f>
        <v>0.585</v>
      </c>
      <c r="G264" s="24"/>
      <c r="H264" s="24"/>
      <c r="I264" s="50"/>
      <c r="J264" s="50"/>
      <c r="K264" s="24"/>
      <c r="L264" s="24"/>
      <c r="M264" s="24"/>
      <c r="N264" s="24"/>
      <c r="O264" s="24"/>
      <c r="P264" s="24"/>
      <c r="Q264" s="24"/>
      <c r="R264" s="24"/>
      <c r="S264" s="24"/>
      <c r="T264" s="24"/>
      <c r="U264" s="24"/>
      <c r="V264" s="24"/>
      <c r="W264" s="24"/>
      <c r="X264" s="24"/>
      <c r="Y264" s="24"/>
      <c r="Z264" s="24"/>
      <c r="AA264" s="24"/>
    </row>
    <row r="265">
      <c r="A265" s="24"/>
      <c r="B265" s="24"/>
      <c r="C265" s="21" t="s">
        <v>276</v>
      </c>
      <c r="D265" s="24"/>
      <c r="E265" s="21" t="s">
        <v>883</v>
      </c>
      <c r="F265" s="52">
        <f>1*0.7+0.7^2</f>
        <v>1.19</v>
      </c>
      <c r="G265" s="24"/>
      <c r="H265" s="24"/>
      <c r="I265" s="50"/>
      <c r="J265" s="50"/>
      <c r="K265" s="24"/>
      <c r="L265" s="24"/>
      <c r="M265" s="24"/>
      <c r="N265" s="24"/>
      <c r="O265" s="24"/>
      <c r="P265" s="24"/>
      <c r="Q265" s="24"/>
      <c r="R265" s="24"/>
      <c r="S265" s="24"/>
      <c r="T265" s="24"/>
      <c r="U265" s="24"/>
      <c r="V265" s="24"/>
      <c r="W265" s="24"/>
      <c r="X265" s="24"/>
      <c r="Y265" s="24"/>
      <c r="Z265" s="24"/>
      <c r="AA265" s="24"/>
    </row>
    <row r="266">
      <c r="A266" s="24"/>
      <c r="B266" s="24"/>
      <c r="C266" s="21" t="s">
        <v>279</v>
      </c>
      <c r="D266" s="24"/>
      <c r="E266" s="21" t="s">
        <v>546</v>
      </c>
      <c r="F266" s="52">
        <f>0.3*0.15*0.6</f>
        <v>0.027</v>
      </c>
      <c r="G266" s="24"/>
      <c r="H266" s="24"/>
      <c r="I266" s="50"/>
      <c r="J266" s="50"/>
      <c r="K266" s="24"/>
      <c r="L266" s="24"/>
      <c r="M266" s="24"/>
      <c r="N266" s="24"/>
      <c r="O266" s="24"/>
      <c r="P266" s="24"/>
      <c r="Q266" s="24"/>
      <c r="R266" s="24"/>
      <c r="S266" s="24"/>
      <c r="T266" s="24"/>
      <c r="U266" s="24"/>
      <c r="V266" s="24"/>
      <c r="W266" s="24"/>
      <c r="X266" s="24"/>
      <c r="Y266" s="24"/>
      <c r="Z266" s="24"/>
      <c r="AA266" s="24"/>
    </row>
    <row r="267">
      <c r="A267" s="24"/>
      <c r="B267" s="24"/>
      <c r="C267" s="21" t="s">
        <v>281</v>
      </c>
      <c r="D267" s="24"/>
      <c r="E267" s="21" t="s">
        <v>354</v>
      </c>
      <c r="F267" s="52">
        <f>0.75*0.3+1.2*0.7</f>
        <v>1.065</v>
      </c>
      <c r="G267" s="24"/>
      <c r="H267" s="24"/>
      <c r="I267" s="50"/>
      <c r="J267" s="50"/>
      <c r="K267" s="24"/>
      <c r="L267" s="24"/>
      <c r="M267" s="24"/>
      <c r="N267" s="24"/>
      <c r="O267" s="24"/>
      <c r="P267" s="24"/>
      <c r="Q267" s="24"/>
      <c r="R267" s="24"/>
      <c r="S267" s="24"/>
      <c r="T267" s="24"/>
      <c r="U267" s="24"/>
      <c r="V267" s="24"/>
      <c r="W267" s="24"/>
      <c r="X267" s="24"/>
      <c r="Y267" s="24"/>
      <c r="Z267" s="24"/>
      <c r="AA267" s="24"/>
    </row>
    <row r="268">
      <c r="A268" s="24"/>
      <c r="B268" s="24"/>
      <c r="C268" s="21" t="s">
        <v>284</v>
      </c>
      <c r="D268" s="24"/>
      <c r="E268" s="21" t="s">
        <v>884</v>
      </c>
      <c r="F268" s="49" t="s">
        <v>885</v>
      </c>
      <c r="G268" s="24"/>
      <c r="H268" s="24"/>
      <c r="I268" s="50"/>
      <c r="J268" s="50"/>
      <c r="K268" s="24"/>
      <c r="L268" s="24"/>
      <c r="M268" s="24"/>
      <c r="N268" s="24"/>
      <c r="O268" s="24"/>
      <c r="P268" s="24"/>
      <c r="Q268" s="24"/>
      <c r="R268" s="24"/>
      <c r="S268" s="24"/>
      <c r="T268" s="24"/>
      <c r="U268" s="24"/>
      <c r="V268" s="24"/>
      <c r="W268" s="24"/>
      <c r="X268" s="24"/>
      <c r="Y268" s="24"/>
      <c r="Z268" s="24"/>
      <c r="AA268" s="24"/>
    </row>
    <row r="269">
      <c r="A269" s="18" t="s">
        <v>886</v>
      </c>
      <c r="B269" s="19">
        <v>46198.0</v>
      </c>
      <c r="C269" s="18" t="s">
        <v>99</v>
      </c>
      <c r="E269" s="18" t="s">
        <v>256</v>
      </c>
      <c r="F269" s="41">
        <f>0.85*0.66+0.35*0.5+0.6</f>
        <v>1.336</v>
      </c>
      <c r="I269" s="47"/>
      <c r="J269" s="47"/>
    </row>
    <row r="270">
      <c r="C270" s="18" t="s">
        <v>124</v>
      </c>
      <c r="E270" s="18" t="s">
        <v>887</v>
      </c>
      <c r="F270" s="41">
        <f>0.12*0.12*14</f>
        <v>0.2016</v>
      </c>
      <c r="I270" s="47"/>
      <c r="J270" s="47"/>
    </row>
    <row r="271">
      <c r="C271" s="18" t="s">
        <v>142</v>
      </c>
      <c r="E271" s="18" t="s">
        <v>888</v>
      </c>
      <c r="F271" s="41">
        <f>0.92*1.13+1.18*0.77</f>
        <v>1.9482</v>
      </c>
      <c r="I271" s="47"/>
      <c r="J271" s="47"/>
    </row>
    <row r="272">
      <c r="C272" s="18" t="s">
        <v>164</v>
      </c>
      <c r="E272" s="18" t="s">
        <v>414</v>
      </c>
      <c r="F272" s="41">
        <f>0.2*0.2*7+1*0.5+1.2*3.5</f>
        <v>4.98</v>
      </c>
      <c r="I272" s="47"/>
      <c r="J272" s="47"/>
    </row>
    <row r="273">
      <c r="C273" s="18" t="s">
        <v>183</v>
      </c>
      <c r="E273" s="18" t="s">
        <v>889</v>
      </c>
      <c r="F273" s="41">
        <f>1.15*2*0.5</f>
        <v>1.15</v>
      </c>
      <c r="I273" s="47"/>
      <c r="J273" s="47"/>
    </row>
    <row r="274">
      <c r="C274" s="18" t="s">
        <v>203</v>
      </c>
      <c r="E274" s="18" t="s">
        <v>890</v>
      </c>
      <c r="F274" s="29" t="s">
        <v>98</v>
      </c>
      <c r="I274" s="47"/>
      <c r="J274" s="47"/>
    </row>
    <row r="275">
      <c r="C275" s="18" t="s">
        <v>235</v>
      </c>
      <c r="E275" s="18" t="s">
        <v>320</v>
      </c>
      <c r="F275" s="41">
        <f>0.8*0.35</f>
        <v>0.28</v>
      </c>
      <c r="I275" s="47"/>
      <c r="J275" s="47"/>
    </row>
    <row r="276">
      <c r="C276" s="18" t="s">
        <v>238</v>
      </c>
      <c r="E276" s="18" t="s">
        <v>880</v>
      </c>
      <c r="F276" s="41">
        <f>0.3*0.1*5</f>
        <v>0.15</v>
      </c>
      <c r="I276" s="47"/>
      <c r="J276" s="47"/>
    </row>
    <row r="277">
      <c r="C277" s="18" t="s">
        <v>241</v>
      </c>
      <c r="E277" s="18" t="s">
        <v>858</v>
      </c>
      <c r="F277" s="41">
        <f>0.25*0.8</f>
        <v>0.2</v>
      </c>
      <c r="I277" s="47"/>
      <c r="J277" s="47"/>
    </row>
    <row r="278">
      <c r="C278" s="18" t="s">
        <v>243</v>
      </c>
      <c r="E278" s="18" t="s">
        <v>312</v>
      </c>
      <c r="F278" s="41">
        <f>0.35*0.3*9</f>
        <v>0.945</v>
      </c>
      <c r="I278" s="47"/>
      <c r="J278" s="47"/>
    </row>
    <row r="279">
      <c r="C279" s="18" t="s">
        <v>246</v>
      </c>
      <c r="E279" s="18" t="s">
        <v>841</v>
      </c>
      <c r="F279" s="41">
        <f>0.8*0.42</f>
        <v>0.336</v>
      </c>
      <c r="I279" s="47"/>
      <c r="J279" s="47"/>
    </row>
    <row r="280">
      <c r="C280" s="18" t="s">
        <v>249</v>
      </c>
      <c r="E280" s="18" t="s">
        <v>881</v>
      </c>
      <c r="F280" s="41">
        <f>1*0.7</f>
        <v>0.7</v>
      </c>
      <c r="I280" s="47"/>
      <c r="J280" s="47"/>
    </row>
    <row r="281">
      <c r="C281" s="18" t="s">
        <v>252</v>
      </c>
      <c r="E281" s="18" t="s">
        <v>417</v>
      </c>
      <c r="F281" s="41">
        <f>0.27*0.21*2</f>
        <v>0.1134</v>
      </c>
      <c r="I281" s="47"/>
      <c r="J281" s="47"/>
    </row>
    <row r="282">
      <c r="C282" s="18" t="s">
        <v>255</v>
      </c>
      <c r="E282" s="18" t="s">
        <v>227</v>
      </c>
      <c r="F282" s="41">
        <f>0.1*0.1</f>
        <v>0.01</v>
      </c>
      <c r="I282" s="47"/>
      <c r="J282" s="47"/>
    </row>
    <row r="283">
      <c r="A283" s="21" t="s">
        <v>26</v>
      </c>
      <c r="B283" s="22">
        <v>46198.0</v>
      </c>
      <c r="C283" s="21" t="s">
        <v>99</v>
      </c>
      <c r="D283" s="24"/>
      <c r="E283" s="21" t="s">
        <v>887</v>
      </c>
      <c r="F283" s="52">
        <f>0.2*0.2*10</f>
        <v>0.4</v>
      </c>
      <c r="G283" s="24"/>
      <c r="H283" s="24"/>
      <c r="I283" s="50"/>
      <c r="J283" s="50"/>
      <c r="K283" s="24"/>
      <c r="L283" s="24"/>
      <c r="M283" s="24"/>
      <c r="N283" s="24"/>
      <c r="O283" s="24"/>
      <c r="P283" s="24"/>
      <c r="Q283" s="24"/>
      <c r="R283" s="24"/>
      <c r="S283" s="24"/>
      <c r="T283" s="24"/>
      <c r="U283" s="24"/>
      <c r="V283" s="24"/>
      <c r="W283" s="24"/>
      <c r="X283" s="24"/>
      <c r="Y283" s="24"/>
      <c r="Z283" s="24"/>
      <c r="AA283" s="24"/>
    </row>
    <row r="284">
      <c r="A284" s="24"/>
      <c r="B284" s="24"/>
      <c r="C284" s="21" t="s">
        <v>124</v>
      </c>
      <c r="D284" s="24"/>
      <c r="E284" s="21" t="s">
        <v>633</v>
      </c>
      <c r="F284" s="52">
        <f>0.07^2*4+0.42*0.32*2</f>
        <v>0.2884</v>
      </c>
      <c r="G284" s="24"/>
      <c r="H284" s="24"/>
      <c r="I284" s="50"/>
      <c r="J284" s="50"/>
      <c r="K284" s="24"/>
      <c r="L284" s="24"/>
      <c r="M284" s="24"/>
      <c r="N284" s="24"/>
      <c r="O284" s="24"/>
      <c r="P284" s="24"/>
      <c r="Q284" s="24"/>
      <c r="R284" s="24"/>
      <c r="S284" s="24"/>
      <c r="T284" s="24"/>
      <c r="U284" s="24"/>
      <c r="V284" s="24"/>
      <c r="W284" s="24"/>
      <c r="X284" s="24"/>
      <c r="Y284" s="24"/>
      <c r="Z284" s="24"/>
      <c r="AA284" s="24"/>
    </row>
    <row r="285">
      <c r="A285" s="24"/>
      <c r="B285" s="24"/>
      <c r="C285" s="21" t="s">
        <v>142</v>
      </c>
      <c r="D285" s="24"/>
      <c r="E285" s="21" t="s">
        <v>891</v>
      </c>
      <c r="F285" s="52">
        <f>0.4*0.4*4+0.22*0.1</f>
        <v>0.662</v>
      </c>
      <c r="G285" s="24"/>
      <c r="H285" s="24"/>
      <c r="I285" s="50"/>
      <c r="J285" s="50"/>
      <c r="K285" s="24"/>
      <c r="L285" s="24"/>
      <c r="M285" s="24"/>
      <c r="N285" s="24"/>
      <c r="O285" s="24"/>
      <c r="P285" s="24"/>
      <c r="Q285" s="24"/>
      <c r="R285" s="24"/>
      <c r="S285" s="24"/>
      <c r="T285" s="24"/>
      <c r="U285" s="24"/>
      <c r="V285" s="24"/>
      <c r="W285" s="24"/>
      <c r="X285" s="24"/>
      <c r="Y285" s="24"/>
      <c r="Z285" s="24"/>
      <c r="AA285" s="24"/>
    </row>
    <row r="286">
      <c r="A286" s="24"/>
      <c r="B286" s="24"/>
      <c r="C286" s="21" t="s">
        <v>164</v>
      </c>
      <c r="D286" s="24"/>
      <c r="E286" s="21" t="s">
        <v>876</v>
      </c>
      <c r="F286" s="52">
        <f>0.45*0.2</f>
        <v>0.09</v>
      </c>
      <c r="G286" s="24"/>
      <c r="H286" s="24"/>
      <c r="I286" s="50"/>
      <c r="J286" s="50"/>
      <c r="K286" s="24"/>
      <c r="L286" s="24"/>
      <c r="M286" s="24"/>
      <c r="N286" s="24"/>
      <c r="O286" s="24"/>
      <c r="P286" s="24"/>
      <c r="Q286" s="24"/>
      <c r="R286" s="24"/>
      <c r="S286" s="24"/>
      <c r="T286" s="24"/>
      <c r="U286" s="24"/>
      <c r="V286" s="24"/>
      <c r="W286" s="24"/>
      <c r="X286" s="24"/>
      <c r="Y286" s="24"/>
      <c r="Z286" s="24"/>
      <c r="AA286" s="24"/>
    </row>
    <row r="287">
      <c r="A287" s="24"/>
      <c r="B287" s="24"/>
      <c r="C287" s="21" t="s">
        <v>183</v>
      </c>
      <c r="D287" s="24"/>
      <c r="E287" s="21" t="s">
        <v>543</v>
      </c>
      <c r="F287" s="52">
        <f>2.5*1.66+0.9*1.2+1.6*1.3*2</f>
        <v>9.39</v>
      </c>
      <c r="G287" s="24"/>
      <c r="H287" s="24"/>
      <c r="I287" s="50"/>
      <c r="J287" s="50"/>
      <c r="K287" s="24"/>
      <c r="L287" s="24"/>
      <c r="M287" s="24"/>
      <c r="N287" s="24"/>
      <c r="O287" s="24"/>
      <c r="P287" s="24"/>
      <c r="Q287" s="24"/>
      <c r="R287" s="24"/>
      <c r="S287" s="24"/>
      <c r="T287" s="24"/>
      <c r="U287" s="24"/>
      <c r="V287" s="24"/>
      <c r="W287" s="24"/>
      <c r="X287" s="24"/>
      <c r="Y287" s="24"/>
      <c r="Z287" s="24"/>
      <c r="AA287" s="24"/>
    </row>
    <row r="288">
      <c r="A288" s="24"/>
      <c r="B288" s="24"/>
      <c r="C288" s="21" t="s">
        <v>203</v>
      </c>
      <c r="D288" s="24"/>
      <c r="E288" s="21" t="s">
        <v>892</v>
      </c>
      <c r="F288" s="52">
        <f>2.4*1.2</f>
        <v>2.88</v>
      </c>
      <c r="G288" s="24"/>
      <c r="H288" s="24"/>
      <c r="I288" s="50"/>
      <c r="J288" s="50"/>
      <c r="K288" s="24"/>
      <c r="L288" s="24"/>
      <c r="M288" s="24"/>
      <c r="N288" s="24"/>
      <c r="O288" s="24"/>
      <c r="P288" s="24"/>
      <c r="Q288" s="24"/>
      <c r="R288" s="24"/>
      <c r="S288" s="24"/>
      <c r="T288" s="24"/>
      <c r="U288" s="24"/>
      <c r="V288" s="24"/>
      <c r="W288" s="24"/>
      <c r="X288" s="24"/>
      <c r="Y288" s="24"/>
      <c r="Z288" s="24"/>
      <c r="AA288" s="24"/>
    </row>
    <row r="289">
      <c r="A289" s="24"/>
      <c r="B289" s="24"/>
      <c r="C289" s="21" t="s">
        <v>235</v>
      </c>
      <c r="D289" s="24"/>
      <c r="E289" s="21" t="s">
        <v>881</v>
      </c>
      <c r="F289" s="52">
        <f>4*2.7+0.6*0.6+0.5*0.5+2.3*2+3*4.4+2.66+1.4*1.4</f>
        <v>33.83</v>
      </c>
      <c r="G289" s="24"/>
      <c r="H289" s="24"/>
      <c r="I289" s="50"/>
      <c r="J289" s="50"/>
      <c r="K289" s="24"/>
      <c r="L289" s="24"/>
      <c r="M289" s="24"/>
      <c r="N289" s="24"/>
      <c r="O289" s="24"/>
      <c r="P289" s="24"/>
      <c r="Q289" s="24"/>
      <c r="R289" s="24"/>
      <c r="S289" s="24"/>
      <c r="T289" s="24"/>
      <c r="U289" s="24"/>
      <c r="V289" s="24"/>
      <c r="W289" s="24"/>
      <c r="X289" s="24"/>
      <c r="Y289" s="24"/>
      <c r="Z289" s="24"/>
      <c r="AA289" s="24"/>
    </row>
    <row r="290">
      <c r="A290" s="24"/>
      <c r="B290" s="24"/>
      <c r="C290" s="21" t="s">
        <v>238</v>
      </c>
      <c r="D290" s="24"/>
      <c r="E290" s="21" t="s">
        <v>227</v>
      </c>
      <c r="F290" s="52">
        <f>0.1*0.1*3</f>
        <v>0.03</v>
      </c>
      <c r="G290" s="24"/>
      <c r="H290" s="24"/>
      <c r="I290" s="50"/>
      <c r="J290" s="50"/>
      <c r="K290" s="24"/>
      <c r="L290" s="24"/>
      <c r="M290" s="24"/>
      <c r="N290" s="24"/>
      <c r="O290" s="24"/>
      <c r="P290" s="24"/>
      <c r="Q290" s="24"/>
      <c r="R290" s="24"/>
      <c r="S290" s="24"/>
      <c r="T290" s="24"/>
      <c r="U290" s="24"/>
      <c r="V290" s="24"/>
      <c r="W290" s="24"/>
      <c r="X290" s="24"/>
      <c r="Y290" s="24"/>
      <c r="Z290" s="24"/>
      <c r="AA290" s="24"/>
    </row>
    <row r="291">
      <c r="A291" s="24"/>
      <c r="B291" s="24"/>
      <c r="C291" s="21" t="s">
        <v>241</v>
      </c>
      <c r="D291" s="24"/>
      <c r="E291" s="21" t="s">
        <v>893</v>
      </c>
      <c r="F291" s="52">
        <f>1.5*2.66+0.3*0.6</f>
        <v>4.17</v>
      </c>
      <c r="G291" s="24"/>
      <c r="H291" s="24"/>
      <c r="I291" s="50"/>
      <c r="J291" s="50"/>
      <c r="K291" s="24"/>
      <c r="L291" s="24"/>
      <c r="M291" s="24"/>
      <c r="N291" s="24"/>
      <c r="O291" s="24"/>
      <c r="P291" s="24"/>
      <c r="Q291" s="24"/>
      <c r="R291" s="24"/>
      <c r="S291" s="24"/>
      <c r="T291" s="24"/>
      <c r="U291" s="24"/>
      <c r="V291" s="24"/>
      <c r="W291" s="24"/>
      <c r="X291" s="24"/>
      <c r="Y291" s="24"/>
      <c r="Z291" s="24"/>
      <c r="AA291" s="24"/>
    </row>
    <row r="292">
      <c r="A292" s="24"/>
      <c r="B292" s="24"/>
      <c r="C292" s="21" t="s">
        <v>243</v>
      </c>
      <c r="D292" s="24"/>
      <c r="E292" s="21" t="s">
        <v>894</v>
      </c>
      <c r="F292" s="52">
        <f>0.1*0.1*7</f>
        <v>0.07</v>
      </c>
      <c r="G292" s="24"/>
      <c r="H292" s="24"/>
      <c r="I292" s="50"/>
      <c r="J292" s="50"/>
      <c r="K292" s="24"/>
      <c r="L292" s="24"/>
      <c r="M292" s="24"/>
      <c r="N292" s="24"/>
      <c r="O292" s="24"/>
      <c r="P292" s="24"/>
      <c r="Q292" s="24"/>
      <c r="R292" s="24"/>
      <c r="S292" s="24"/>
      <c r="T292" s="24"/>
      <c r="U292" s="24"/>
      <c r="V292" s="24"/>
      <c r="W292" s="24"/>
      <c r="X292" s="24"/>
      <c r="Y292" s="24"/>
      <c r="Z292" s="24"/>
      <c r="AA292" s="24"/>
    </row>
    <row r="293">
      <c r="A293" s="24"/>
      <c r="B293" s="24"/>
      <c r="C293" s="21" t="s">
        <v>246</v>
      </c>
      <c r="D293" s="24"/>
      <c r="E293" s="21" t="s">
        <v>744</v>
      </c>
      <c r="F293" s="52">
        <f>0.06*0.06*4</f>
        <v>0.0144</v>
      </c>
      <c r="G293" s="24"/>
      <c r="H293" s="24"/>
      <c r="I293" s="50"/>
      <c r="J293" s="50"/>
      <c r="K293" s="24"/>
      <c r="L293" s="24"/>
      <c r="M293" s="24"/>
      <c r="N293" s="24"/>
      <c r="O293" s="24"/>
      <c r="P293" s="24"/>
      <c r="Q293" s="24"/>
      <c r="R293" s="24"/>
      <c r="S293" s="24"/>
      <c r="T293" s="24"/>
      <c r="U293" s="24"/>
      <c r="V293" s="24"/>
      <c r="W293" s="24"/>
      <c r="X293" s="24"/>
      <c r="Y293" s="24"/>
      <c r="Z293" s="24"/>
      <c r="AA293" s="24"/>
    </row>
    <row r="294">
      <c r="A294" s="24"/>
      <c r="B294" s="24"/>
      <c r="C294" s="21" t="s">
        <v>249</v>
      </c>
      <c r="D294" s="24"/>
      <c r="E294" s="21" t="s">
        <v>895</v>
      </c>
      <c r="F294" s="52">
        <f>0.1*0.1*9</f>
        <v>0.09</v>
      </c>
      <c r="G294" s="24"/>
      <c r="H294" s="24"/>
      <c r="I294" s="50"/>
      <c r="J294" s="50"/>
      <c r="K294" s="24"/>
      <c r="L294" s="24"/>
      <c r="M294" s="24"/>
      <c r="N294" s="24"/>
      <c r="O294" s="24"/>
      <c r="P294" s="24"/>
      <c r="Q294" s="24"/>
      <c r="R294" s="24"/>
      <c r="S294" s="24"/>
      <c r="T294" s="24"/>
      <c r="U294" s="24"/>
      <c r="V294" s="24"/>
      <c r="W294" s="24"/>
      <c r="X294" s="24"/>
      <c r="Y294" s="24"/>
      <c r="Z294" s="24"/>
      <c r="AA294" s="24"/>
    </row>
    <row r="295">
      <c r="A295" s="24"/>
      <c r="B295" s="24"/>
      <c r="C295" s="21" t="s">
        <v>252</v>
      </c>
      <c r="D295" s="24"/>
      <c r="E295" s="21" t="s">
        <v>896</v>
      </c>
      <c r="F295" s="52">
        <f>0.42^2</f>
        <v>0.1764</v>
      </c>
      <c r="G295" s="24"/>
      <c r="H295" s="24"/>
      <c r="I295" s="50"/>
      <c r="J295" s="50"/>
      <c r="K295" s="24"/>
      <c r="L295" s="24"/>
      <c r="M295" s="24"/>
      <c r="N295" s="24"/>
      <c r="O295" s="24"/>
      <c r="P295" s="24"/>
      <c r="Q295" s="24"/>
      <c r="R295" s="24"/>
      <c r="S295" s="24"/>
      <c r="T295" s="24"/>
      <c r="U295" s="24"/>
      <c r="V295" s="24"/>
      <c r="W295" s="24"/>
      <c r="X295" s="24"/>
      <c r="Y295" s="24"/>
      <c r="Z295" s="24"/>
      <c r="AA295" s="24"/>
    </row>
    <row r="296">
      <c r="A296" s="24"/>
      <c r="B296" s="24"/>
      <c r="C296" s="21" t="s">
        <v>255</v>
      </c>
      <c r="D296" s="24"/>
      <c r="E296" s="21" t="s">
        <v>256</v>
      </c>
      <c r="F296" s="52">
        <f>1.1^2+1*0.9+0.9*0.3+0.4*0.32</f>
        <v>2.508</v>
      </c>
      <c r="G296" s="24"/>
      <c r="H296" s="24"/>
      <c r="I296" s="50"/>
      <c r="J296" s="50"/>
      <c r="K296" s="24"/>
      <c r="L296" s="24"/>
      <c r="M296" s="24"/>
      <c r="N296" s="24"/>
      <c r="O296" s="24"/>
      <c r="P296" s="24"/>
      <c r="Q296" s="24"/>
      <c r="R296" s="24"/>
      <c r="S296" s="24"/>
      <c r="T296" s="24"/>
      <c r="U296" s="24"/>
      <c r="V296" s="24"/>
      <c r="W296" s="24"/>
      <c r="X296" s="24"/>
      <c r="Y296" s="24"/>
      <c r="Z296" s="24"/>
      <c r="AA296" s="24"/>
    </row>
    <row r="297">
      <c r="A297" s="24"/>
      <c r="B297" s="24"/>
      <c r="C297" s="21" t="s">
        <v>258</v>
      </c>
      <c r="D297" s="24"/>
      <c r="E297" s="21" t="s">
        <v>897</v>
      </c>
      <c r="F297" s="49">
        <f>0.35*0.17</f>
        <v>0.0595</v>
      </c>
      <c r="G297" s="24"/>
      <c r="H297" s="24"/>
      <c r="I297" s="50"/>
      <c r="J297" s="50"/>
      <c r="K297" s="24"/>
      <c r="L297" s="24"/>
      <c r="M297" s="24"/>
      <c r="N297" s="24"/>
      <c r="O297" s="24"/>
      <c r="P297" s="24"/>
      <c r="Q297" s="24"/>
      <c r="R297" s="24"/>
      <c r="S297" s="24"/>
      <c r="T297" s="24"/>
      <c r="U297" s="24"/>
      <c r="V297" s="24"/>
      <c r="W297" s="24"/>
      <c r="X297" s="24"/>
      <c r="Y297" s="24"/>
      <c r="Z297" s="24"/>
      <c r="AA297" s="24"/>
    </row>
    <row r="298">
      <c r="A298" s="24"/>
      <c r="B298" s="24"/>
      <c r="C298" s="21" t="s">
        <v>260</v>
      </c>
      <c r="D298" s="24"/>
      <c r="E298" s="21" t="s">
        <v>841</v>
      </c>
      <c r="F298" s="52">
        <f>0.4*0.55+0.45*0.25+0.87*0.57</f>
        <v>0.8284</v>
      </c>
      <c r="G298" s="24"/>
      <c r="H298" s="24"/>
      <c r="I298" s="50"/>
      <c r="J298" s="50"/>
      <c r="K298" s="24"/>
      <c r="L298" s="24"/>
      <c r="M298" s="24"/>
      <c r="N298" s="24"/>
      <c r="O298" s="24"/>
      <c r="P298" s="24"/>
      <c r="Q298" s="24"/>
      <c r="R298" s="24"/>
      <c r="S298" s="24"/>
      <c r="T298" s="24"/>
      <c r="U298" s="24"/>
      <c r="V298" s="24"/>
      <c r="W298" s="24"/>
      <c r="X298" s="24"/>
      <c r="Y298" s="24"/>
      <c r="Z298" s="24"/>
      <c r="AA298" s="24"/>
    </row>
    <row r="299">
      <c r="A299" s="24"/>
      <c r="B299" s="24"/>
      <c r="C299" s="21" t="s">
        <v>262</v>
      </c>
      <c r="D299" s="24"/>
      <c r="E299" s="21" t="s">
        <v>524</v>
      </c>
      <c r="F299" s="52">
        <f>0.1^2*2+0.25*0.15+0.65*0.25</f>
        <v>0.22</v>
      </c>
      <c r="G299" s="24"/>
      <c r="H299" s="24"/>
      <c r="I299" s="50"/>
      <c r="J299" s="50"/>
      <c r="K299" s="24"/>
      <c r="L299" s="24"/>
      <c r="M299" s="24"/>
      <c r="N299" s="24"/>
      <c r="O299" s="24"/>
      <c r="P299" s="24"/>
      <c r="Q299" s="24"/>
      <c r="R299" s="24"/>
      <c r="S299" s="24"/>
      <c r="T299" s="24"/>
      <c r="U299" s="24"/>
      <c r="V299" s="24"/>
      <c r="W299" s="24"/>
      <c r="X299" s="24"/>
      <c r="Y299" s="24"/>
      <c r="Z299" s="24"/>
      <c r="AA299" s="24"/>
    </row>
    <row r="300">
      <c r="A300" s="24"/>
      <c r="B300" s="24"/>
      <c r="C300" s="21" t="s">
        <v>264</v>
      </c>
      <c r="D300" s="24"/>
      <c r="E300" s="21" t="s">
        <v>898</v>
      </c>
      <c r="F300" s="52">
        <f>0.18*0.13*2</f>
        <v>0.0468</v>
      </c>
      <c r="G300" s="24"/>
      <c r="H300" s="24"/>
      <c r="I300" s="50"/>
      <c r="J300" s="50"/>
      <c r="K300" s="24"/>
      <c r="L300" s="24"/>
      <c r="M300" s="24"/>
      <c r="N300" s="24"/>
      <c r="O300" s="24"/>
      <c r="P300" s="24"/>
      <c r="Q300" s="24"/>
      <c r="R300" s="24"/>
      <c r="S300" s="24"/>
      <c r="T300" s="24"/>
      <c r="U300" s="24"/>
      <c r="V300" s="24"/>
      <c r="W300" s="24"/>
      <c r="X300" s="24"/>
      <c r="Y300" s="24"/>
      <c r="Z300" s="24"/>
      <c r="AA300" s="24"/>
    </row>
    <row r="301">
      <c r="A301" s="24"/>
      <c r="B301" s="24"/>
      <c r="C301" s="21" t="s">
        <v>266</v>
      </c>
      <c r="D301" s="24"/>
      <c r="E301" s="21" t="s">
        <v>698</v>
      </c>
      <c r="F301" s="49" t="s">
        <v>98</v>
      </c>
      <c r="G301" s="24"/>
      <c r="H301" s="24"/>
      <c r="I301" s="50"/>
      <c r="J301" s="50"/>
      <c r="K301" s="24"/>
      <c r="L301" s="24"/>
      <c r="M301" s="24"/>
      <c r="N301" s="24"/>
      <c r="O301" s="24"/>
      <c r="P301" s="24"/>
      <c r="Q301" s="24"/>
      <c r="R301" s="24"/>
      <c r="S301" s="24"/>
      <c r="T301" s="24"/>
      <c r="U301" s="24"/>
      <c r="V301" s="24"/>
      <c r="W301" s="24"/>
      <c r="X301" s="24"/>
      <c r="Y301" s="24"/>
      <c r="Z301" s="24"/>
      <c r="AA301" s="24"/>
    </row>
    <row r="302">
      <c r="A302" s="24"/>
      <c r="B302" s="24"/>
      <c r="C302" s="21" t="s">
        <v>268</v>
      </c>
      <c r="D302" s="24"/>
      <c r="E302" s="21" t="s">
        <v>899</v>
      </c>
      <c r="F302" s="52">
        <f>0.1*0.1</f>
        <v>0.01</v>
      </c>
      <c r="G302" s="24"/>
      <c r="H302" s="24"/>
      <c r="I302" s="50"/>
      <c r="J302" s="50"/>
      <c r="K302" s="24"/>
      <c r="L302" s="24"/>
      <c r="M302" s="24"/>
      <c r="N302" s="24"/>
      <c r="O302" s="24"/>
      <c r="P302" s="24"/>
      <c r="Q302" s="24"/>
      <c r="R302" s="24"/>
      <c r="S302" s="24"/>
      <c r="T302" s="24"/>
      <c r="U302" s="24"/>
      <c r="V302" s="24"/>
      <c r="W302" s="24"/>
      <c r="X302" s="24"/>
      <c r="Y302" s="24"/>
      <c r="Z302" s="24"/>
      <c r="AA302" s="24"/>
    </row>
    <row r="303">
      <c r="A303" s="24"/>
      <c r="B303" s="24"/>
      <c r="C303" s="21" t="s">
        <v>270</v>
      </c>
      <c r="D303" s="24"/>
      <c r="E303" s="21" t="s">
        <v>294</v>
      </c>
      <c r="F303" s="52">
        <f>0.1*0.1+0.9*0.4</f>
        <v>0.37</v>
      </c>
      <c r="G303" s="24"/>
      <c r="H303" s="24"/>
      <c r="I303" s="50"/>
      <c r="J303" s="50"/>
      <c r="K303" s="24"/>
      <c r="L303" s="24"/>
      <c r="M303" s="24"/>
      <c r="N303" s="24"/>
      <c r="O303" s="24"/>
      <c r="P303" s="24"/>
      <c r="Q303" s="24"/>
      <c r="R303" s="24"/>
      <c r="S303" s="24"/>
      <c r="T303" s="24"/>
      <c r="U303" s="24"/>
      <c r="V303" s="24"/>
      <c r="W303" s="24"/>
      <c r="X303" s="24"/>
      <c r="Y303" s="24"/>
      <c r="Z303" s="24"/>
      <c r="AA303" s="24"/>
    </row>
    <row r="304">
      <c r="A304" s="24"/>
      <c r="B304" s="24"/>
      <c r="C304" s="21" t="s">
        <v>273</v>
      </c>
      <c r="D304" s="24"/>
      <c r="E304" s="21" t="s">
        <v>498</v>
      </c>
      <c r="F304" s="52">
        <f t="shared" ref="F304:F305" si="1">0.1*0.1</f>
        <v>0.01</v>
      </c>
      <c r="G304" s="24"/>
      <c r="H304" s="24"/>
      <c r="I304" s="50"/>
      <c r="J304" s="50"/>
      <c r="K304" s="24"/>
      <c r="L304" s="24"/>
      <c r="M304" s="24"/>
      <c r="N304" s="24"/>
      <c r="O304" s="24"/>
      <c r="P304" s="24"/>
      <c r="Q304" s="24"/>
      <c r="R304" s="24"/>
      <c r="S304" s="24"/>
      <c r="T304" s="24"/>
      <c r="U304" s="24"/>
      <c r="V304" s="24"/>
      <c r="W304" s="24"/>
      <c r="X304" s="24"/>
      <c r="Y304" s="24"/>
      <c r="Z304" s="24"/>
      <c r="AA304" s="24"/>
    </row>
    <row r="305">
      <c r="A305" s="24"/>
      <c r="B305" s="24"/>
      <c r="C305" s="21" t="s">
        <v>276</v>
      </c>
      <c r="D305" s="24"/>
      <c r="E305" s="21" t="s">
        <v>900</v>
      </c>
      <c r="F305" s="52">
        <f t="shared" si="1"/>
        <v>0.01</v>
      </c>
      <c r="G305" s="24"/>
      <c r="H305" s="24"/>
      <c r="I305" s="50"/>
      <c r="J305" s="50"/>
      <c r="K305" s="24"/>
      <c r="L305" s="24"/>
      <c r="M305" s="24"/>
      <c r="N305" s="24"/>
      <c r="O305" s="24"/>
      <c r="P305" s="24"/>
      <c r="Q305" s="24"/>
      <c r="R305" s="24"/>
      <c r="S305" s="24"/>
      <c r="T305" s="24"/>
      <c r="U305" s="24"/>
      <c r="V305" s="24"/>
      <c r="W305" s="24"/>
      <c r="X305" s="24"/>
      <c r="Y305" s="24"/>
      <c r="Z305" s="24"/>
      <c r="AA305" s="24"/>
    </row>
    <row r="306">
      <c r="A306" s="18" t="s">
        <v>7</v>
      </c>
      <c r="B306" s="19">
        <v>46203.0</v>
      </c>
      <c r="C306" s="18" t="s">
        <v>99</v>
      </c>
      <c r="E306" s="18" t="s">
        <v>315</v>
      </c>
      <c r="F306" s="41">
        <f>0.48*0.3</f>
        <v>0.144</v>
      </c>
      <c r="I306" s="47"/>
      <c r="J306" s="47"/>
    </row>
    <row r="307">
      <c r="C307" s="18" t="s">
        <v>124</v>
      </c>
      <c r="E307" s="18" t="s">
        <v>256</v>
      </c>
      <c r="F307" s="41">
        <f>1.2*1.2*2</f>
        <v>2.88</v>
      </c>
      <c r="I307" s="47"/>
      <c r="J307" s="47"/>
    </row>
    <row r="308">
      <c r="C308" s="18" t="s">
        <v>142</v>
      </c>
      <c r="E308" s="18" t="s">
        <v>657</v>
      </c>
      <c r="F308" s="41">
        <f>0.1*0.1</f>
        <v>0.01</v>
      </c>
      <c r="I308" s="47"/>
      <c r="J308" s="47"/>
    </row>
    <row r="309">
      <c r="C309" s="18" t="s">
        <v>164</v>
      </c>
      <c r="E309" s="18" t="s">
        <v>864</v>
      </c>
      <c r="F309" s="41">
        <f>0.4*0.2</f>
        <v>0.08</v>
      </c>
      <c r="I309" s="47"/>
      <c r="J309" s="47"/>
    </row>
    <row r="310">
      <c r="C310" s="18" t="s">
        <v>183</v>
      </c>
      <c r="E310" s="18" t="s">
        <v>312</v>
      </c>
      <c r="F310" s="41">
        <f>0.5*0.65+0.6*0.55*11+0.4*0.32</f>
        <v>4.083</v>
      </c>
      <c r="I310" s="47"/>
      <c r="J310" s="47"/>
    </row>
    <row r="311">
      <c r="C311" s="18" t="s">
        <v>203</v>
      </c>
      <c r="E311" s="18" t="s">
        <v>901</v>
      </c>
      <c r="F311" s="41">
        <f>0.4^2*4+0.45*0.5</f>
        <v>0.865</v>
      </c>
      <c r="I311" s="47"/>
      <c r="J311" s="47"/>
    </row>
    <row r="312">
      <c r="C312" s="18" t="s">
        <v>235</v>
      </c>
      <c r="E312" s="18" t="s">
        <v>902</v>
      </c>
      <c r="F312" s="41">
        <f>0.24^2</f>
        <v>0.0576</v>
      </c>
      <c r="I312" s="47"/>
      <c r="J312" s="47"/>
    </row>
    <row r="313">
      <c r="C313" s="18" t="s">
        <v>238</v>
      </c>
      <c r="E313" s="18" t="s">
        <v>498</v>
      </c>
      <c r="F313" s="41">
        <f>0.32*0.2</f>
        <v>0.064</v>
      </c>
      <c r="I313" s="47"/>
      <c r="J313" s="47"/>
    </row>
    <row r="314">
      <c r="C314" s="18" t="s">
        <v>241</v>
      </c>
      <c r="E314" s="18" t="s">
        <v>586</v>
      </c>
      <c r="F314" s="41">
        <f>3*1.1</f>
        <v>3.3</v>
      </c>
      <c r="I314" s="47"/>
      <c r="J314" s="47"/>
    </row>
    <row r="315">
      <c r="C315" s="18" t="s">
        <v>243</v>
      </c>
      <c r="E315" s="18" t="s">
        <v>464</v>
      </c>
      <c r="F315" s="41">
        <f>0.77^2+0.55*0.6+0.68*0.5+0.5*0.25*2+0.3*0.1</f>
        <v>1.5429</v>
      </c>
      <c r="I315" s="47"/>
      <c r="J315" s="47"/>
    </row>
    <row r="316">
      <c r="C316" s="18" t="s">
        <v>246</v>
      </c>
      <c r="E316" s="18" t="s">
        <v>435</v>
      </c>
      <c r="F316" s="41">
        <f>0.7*0.7+0.95*0.8+0.3*0.2+1.2*0.77+0.44*0.38</f>
        <v>2.4012</v>
      </c>
      <c r="I316" s="47"/>
      <c r="J316" s="47"/>
    </row>
    <row r="317">
      <c r="C317" s="18" t="s">
        <v>249</v>
      </c>
      <c r="E317" s="18" t="s">
        <v>414</v>
      </c>
      <c r="F317" s="41">
        <f>0.8*0.5</f>
        <v>0.4</v>
      </c>
      <c r="I317" s="47"/>
      <c r="J317" s="47"/>
    </row>
    <row r="318">
      <c r="C318" s="18" t="s">
        <v>252</v>
      </c>
      <c r="E318" s="18" t="s">
        <v>866</v>
      </c>
      <c r="F318" s="41">
        <f>0.85*0.7</f>
        <v>0.595</v>
      </c>
      <c r="I318" s="47"/>
      <c r="J318" s="47"/>
    </row>
    <row r="319">
      <c r="C319" s="18" t="s">
        <v>255</v>
      </c>
      <c r="E319" s="18" t="s">
        <v>686</v>
      </c>
      <c r="F319" s="41">
        <f>0.38*0.22*2</f>
        <v>0.1672</v>
      </c>
      <c r="I319" s="47"/>
      <c r="J319" s="47"/>
    </row>
    <row r="320">
      <c r="C320" s="18" t="s">
        <v>258</v>
      </c>
      <c r="E320" s="18" t="s">
        <v>201</v>
      </c>
      <c r="F320" s="41">
        <f>0.7*0.9</f>
        <v>0.63</v>
      </c>
      <c r="I320" s="47"/>
      <c r="J320" s="47"/>
    </row>
    <row r="321">
      <c r="C321" s="18" t="s">
        <v>260</v>
      </c>
      <c r="E321" s="18" t="s">
        <v>236</v>
      </c>
      <c r="F321" s="41">
        <f>0.3*0.45*3+0.1*0.1*2</f>
        <v>0.425</v>
      </c>
      <c r="I321" s="47"/>
      <c r="J321" s="47"/>
    </row>
    <row r="322">
      <c r="C322" s="18" t="s">
        <v>262</v>
      </c>
      <c r="E322" s="18" t="s">
        <v>642</v>
      </c>
      <c r="F322" s="41">
        <f>1.2*1.45</f>
        <v>1.74</v>
      </c>
      <c r="I322" s="47"/>
      <c r="J322" s="47"/>
    </row>
    <row r="323">
      <c r="C323" s="18" t="s">
        <v>264</v>
      </c>
      <c r="E323" s="18" t="s">
        <v>379</v>
      </c>
      <c r="F323" s="41">
        <f>4*3</f>
        <v>12</v>
      </c>
      <c r="G323" s="18"/>
      <c r="H323" s="18" t="s">
        <v>903</v>
      </c>
      <c r="I323" s="47"/>
      <c r="J323" s="47"/>
    </row>
    <row r="324">
      <c r="C324" s="18" t="s">
        <v>266</v>
      </c>
      <c r="E324" s="18" t="s">
        <v>904</v>
      </c>
      <c r="F324" s="41">
        <f>0.4*0.4+0.4*0.1</f>
        <v>0.2</v>
      </c>
      <c r="I324" s="47"/>
      <c r="J324" s="47"/>
    </row>
    <row r="325">
      <c r="C325" s="18" t="s">
        <v>268</v>
      </c>
      <c r="E325" s="18" t="s">
        <v>841</v>
      </c>
      <c r="F325" s="41">
        <f>0.25*0.25</f>
        <v>0.0625</v>
      </c>
      <c r="I325" s="47"/>
      <c r="J325" s="47"/>
    </row>
    <row r="326">
      <c r="C326" s="18" t="s">
        <v>270</v>
      </c>
      <c r="E326" s="18" t="s">
        <v>227</v>
      </c>
      <c r="F326" s="41">
        <f>0.1^2</f>
        <v>0.01</v>
      </c>
      <c r="I326" s="47"/>
      <c r="J326" s="47"/>
    </row>
    <row r="327">
      <c r="C327" s="18" t="s">
        <v>273</v>
      </c>
      <c r="E327" s="18" t="s">
        <v>905</v>
      </c>
      <c r="F327" s="41">
        <f>0.2*0.2+0.4*0.3</f>
        <v>0.16</v>
      </c>
      <c r="I327" s="47"/>
      <c r="J327" s="47"/>
    </row>
    <row r="328">
      <c r="C328" s="18" t="s">
        <v>276</v>
      </c>
      <c r="E328" s="18" t="s">
        <v>906</v>
      </c>
      <c r="F328" s="41">
        <f>0.75*0.7</f>
        <v>0.525</v>
      </c>
      <c r="I328" s="47"/>
      <c r="J328" s="47"/>
    </row>
    <row r="329">
      <c r="C329" s="18" t="s">
        <v>279</v>
      </c>
      <c r="E329" s="18" t="s">
        <v>907</v>
      </c>
      <c r="F329" s="41">
        <f>0.75*0.71</f>
        <v>0.5325</v>
      </c>
      <c r="I329" s="47"/>
      <c r="J329" s="47"/>
    </row>
    <row r="330">
      <c r="C330" s="18" t="s">
        <v>281</v>
      </c>
      <c r="E330" s="18" t="s">
        <v>454</v>
      </c>
      <c r="F330" s="41">
        <f>0.6*0.55+0.3*0.3</f>
        <v>0.42</v>
      </c>
      <c r="I330" s="47"/>
      <c r="J330" s="47"/>
    </row>
    <row r="331">
      <c r="C331" s="18" t="s">
        <v>284</v>
      </c>
      <c r="E331" s="18" t="s">
        <v>908</v>
      </c>
      <c r="F331" s="41">
        <f>0.45*0.28</f>
        <v>0.126</v>
      </c>
      <c r="I331" s="47"/>
      <c r="J331" s="47"/>
    </row>
    <row r="332">
      <c r="C332" s="18" t="s">
        <v>286</v>
      </c>
      <c r="E332" s="18" t="s">
        <v>417</v>
      </c>
      <c r="F332" s="41">
        <f>0.5*0.4</f>
        <v>0.2</v>
      </c>
      <c r="I332" s="47"/>
      <c r="J332" s="47"/>
    </row>
    <row r="333">
      <c r="C333" s="18" t="s">
        <v>288</v>
      </c>
      <c r="E333" s="18" t="s">
        <v>909</v>
      </c>
      <c r="F333" s="41">
        <f>0.65*0.55</f>
        <v>0.3575</v>
      </c>
      <c r="I333" s="47"/>
      <c r="J333" s="47"/>
    </row>
    <row r="334">
      <c r="A334" s="21" t="s">
        <v>31</v>
      </c>
      <c r="B334" s="22">
        <v>46203.0</v>
      </c>
      <c r="C334" s="21" t="s">
        <v>99</v>
      </c>
      <c r="D334" s="24"/>
      <c r="E334" s="21" t="s">
        <v>498</v>
      </c>
      <c r="F334" s="52">
        <f>0.15^2*3</f>
        <v>0.0675</v>
      </c>
      <c r="G334" s="24"/>
      <c r="H334" s="24"/>
      <c r="I334" s="50"/>
      <c r="J334" s="50"/>
      <c r="K334" s="24"/>
      <c r="L334" s="24"/>
      <c r="M334" s="24"/>
      <c r="N334" s="24"/>
      <c r="O334" s="24"/>
      <c r="P334" s="24"/>
      <c r="Q334" s="24"/>
      <c r="R334" s="24"/>
      <c r="S334" s="24"/>
      <c r="T334" s="24"/>
      <c r="U334" s="24"/>
      <c r="V334" s="24"/>
      <c r="W334" s="24"/>
      <c r="X334" s="24"/>
      <c r="Y334" s="24"/>
      <c r="Z334" s="24"/>
      <c r="AA334" s="24"/>
    </row>
    <row r="335">
      <c r="A335" s="24"/>
      <c r="B335" s="24"/>
      <c r="C335" s="21" t="s">
        <v>124</v>
      </c>
      <c r="D335" s="24"/>
      <c r="E335" s="21" t="s">
        <v>901</v>
      </c>
      <c r="F335" s="52">
        <f>0.25*0.25+0.88*0.52</f>
        <v>0.5201</v>
      </c>
      <c r="G335" s="24"/>
      <c r="H335" s="24"/>
      <c r="I335" s="50"/>
      <c r="J335" s="50"/>
      <c r="K335" s="24"/>
      <c r="L335" s="24"/>
      <c r="M335" s="24"/>
      <c r="N335" s="24"/>
      <c r="O335" s="24"/>
      <c r="P335" s="24"/>
      <c r="Q335" s="24"/>
      <c r="R335" s="24"/>
      <c r="S335" s="24"/>
      <c r="T335" s="24"/>
      <c r="U335" s="24"/>
      <c r="V335" s="24"/>
      <c r="W335" s="24"/>
      <c r="X335" s="24"/>
      <c r="Y335" s="24"/>
      <c r="Z335" s="24"/>
      <c r="AA335" s="24"/>
    </row>
    <row r="336">
      <c r="A336" s="24"/>
      <c r="B336" s="24"/>
      <c r="C336" s="21" t="s">
        <v>142</v>
      </c>
      <c r="D336" s="24"/>
      <c r="E336" s="21" t="s">
        <v>256</v>
      </c>
      <c r="F336" s="52">
        <f>1.19*2.39*0.5+3.14159*0.2^2+0.4*0.65+1.19*0.8</f>
        <v>2.7597136</v>
      </c>
      <c r="G336" s="24"/>
      <c r="H336" s="24"/>
      <c r="I336" s="50"/>
      <c r="J336" s="50"/>
      <c r="K336" s="24"/>
      <c r="L336" s="24"/>
      <c r="M336" s="24"/>
      <c r="N336" s="24"/>
      <c r="O336" s="24"/>
      <c r="P336" s="24"/>
      <c r="Q336" s="24"/>
      <c r="R336" s="24"/>
      <c r="S336" s="24"/>
      <c r="T336" s="24"/>
      <c r="U336" s="24"/>
      <c r="V336" s="24"/>
      <c r="W336" s="24"/>
      <c r="X336" s="24"/>
      <c r="Y336" s="24"/>
      <c r="Z336" s="24"/>
      <c r="AA336" s="24"/>
    </row>
    <row r="337">
      <c r="A337" s="24"/>
      <c r="B337" s="24"/>
      <c r="C337" s="21" t="s">
        <v>164</v>
      </c>
      <c r="D337" s="24"/>
      <c r="E337" s="21" t="s">
        <v>910</v>
      </c>
      <c r="F337" s="52">
        <f>0.2^2</f>
        <v>0.04</v>
      </c>
      <c r="G337" s="24"/>
      <c r="H337" s="24"/>
      <c r="I337" s="50"/>
      <c r="J337" s="50"/>
      <c r="K337" s="24"/>
      <c r="L337" s="24"/>
      <c r="M337" s="24"/>
      <c r="N337" s="24"/>
      <c r="O337" s="24"/>
      <c r="P337" s="24"/>
      <c r="Q337" s="24"/>
      <c r="R337" s="24"/>
      <c r="S337" s="24"/>
      <c r="T337" s="24"/>
      <c r="U337" s="24"/>
      <c r="V337" s="24"/>
      <c r="W337" s="24"/>
      <c r="X337" s="24"/>
      <c r="Y337" s="24"/>
      <c r="Z337" s="24"/>
      <c r="AA337" s="24"/>
    </row>
    <row r="338">
      <c r="A338" s="24"/>
      <c r="B338" s="24"/>
      <c r="C338" s="21" t="s">
        <v>183</v>
      </c>
      <c r="D338" s="24"/>
      <c r="E338" s="21" t="s">
        <v>524</v>
      </c>
      <c r="F338" s="52">
        <f>0.6*0.28</f>
        <v>0.168</v>
      </c>
      <c r="G338" s="24"/>
      <c r="H338" s="24"/>
      <c r="I338" s="50"/>
      <c r="J338" s="50"/>
      <c r="K338" s="24"/>
      <c r="L338" s="24"/>
      <c r="M338" s="24"/>
      <c r="N338" s="24"/>
      <c r="O338" s="24"/>
      <c r="P338" s="24"/>
      <c r="Q338" s="24"/>
      <c r="R338" s="24"/>
      <c r="S338" s="24"/>
      <c r="T338" s="24"/>
      <c r="U338" s="24"/>
      <c r="V338" s="24"/>
      <c r="W338" s="24"/>
      <c r="X338" s="24"/>
      <c r="Y338" s="24"/>
      <c r="Z338" s="24"/>
      <c r="AA338" s="24"/>
    </row>
    <row r="339">
      <c r="A339" s="24"/>
      <c r="B339" s="24"/>
      <c r="C339" s="21" t="s">
        <v>203</v>
      </c>
      <c r="D339" s="24"/>
      <c r="E339" s="21" t="s">
        <v>911</v>
      </c>
      <c r="F339" s="52">
        <f>0.22*0.18*6</f>
        <v>0.2376</v>
      </c>
      <c r="G339" s="24"/>
      <c r="H339" s="24"/>
      <c r="I339" s="50"/>
      <c r="J339" s="50"/>
      <c r="K339" s="24"/>
      <c r="L339" s="24"/>
      <c r="M339" s="24"/>
      <c r="N339" s="24"/>
      <c r="O339" s="24"/>
      <c r="P339" s="24"/>
      <c r="Q339" s="24"/>
      <c r="R339" s="24"/>
      <c r="S339" s="24"/>
      <c r="T339" s="24"/>
      <c r="U339" s="24"/>
      <c r="V339" s="24"/>
      <c r="W339" s="24"/>
      <c r="X339" s="24"/>
      <c r="Y339" s="24"/>
      <c r="Z339" s="24"/>
      <c r="AA339" s="24"/>
    </row>
    <row r="340">
      <c r="A340" s="24"/>
      <c r="B340" s="24"/>
      <c r="C340" s="21" t="s">
        <v>235</v>
      </c>
      <c r="D340" s="24"/>
      <c r="E340" s="21" t="s">
        <v>532</v>
      </c>
      <c r="F340" s="52">
        <f>0.38*0.28*2</f>
        <v>0.2128</v>
      </c>
      <c r="G340" s="24"/>
      <c r="H340" s="24"/>
      <c r="I340" s="50"/>
      <c r="J340" s="50"/>
      <c r="K340" s="24"/>
      <c r="L340" s="24"/>
      <c r="M340" s="24"/>
      <c r="N340" s="24"/>
      <c r="O340" s="24"/>
      <c r="P340" s="24"/>
      <c r="Q340" s="24"/>
      <c r="R340" s="24"/>
      <c r="S340" s="24"/>
      <c r="T340" s="24"/>
      <c r="U340" s="24"/>
      <c r="V340" s="24"/>
      <c r="W340" s="24"/>
      <c r="X340" s="24"/>
      <c r="Y340" s="24"/>
      <c r="Z340" s="24"/>
      <c r="AA340" s="24"/>
    </row>
    <row r="341">
      <c r="A341" s="24"/>
      <c r="B341" s="24"/>
      <c r="C341" s="21" t="s">
        <v>238</v>
      </c>
      <c r="D341" s="24"/>
      <c r="E341" s="21" t="s">
        <v>312</v>
      </c>
      <c r="F341" s="52">
        <f>0.7*0.65+0.5*0.33*2+1.19*0.5</f>
        <v>1.38</v>
      </c>
      <c r="G341" s="24"/>
      <c r="H341" s="24"/>
      <c r="I341" s="50"/>
      <c r="J341" s="50"/>
      <c r="K341" s="24"/>
      <c r="L341" s="24"/>
      <c r="M341" s="24"/>
      <c r="N341" s="24"/>
      <c r="O341" s="24"/>
      <c r="P341" s="24"/>
      <c r="Q341" s="24"/>
      <c r="R341" s="24"/>
      <c r="S341" s="24"/>
      <c r="T341" s="24"/>
      <c r="U341" s="24"/>
      <c r="V341" s="24"/>
      <c r="W341" s="24"/>
      <c r="X341" s="24"/>
      <c r="Y341" s="24"/>
      <c r="Z341" s="24"/>
      <c r="AA341" s="24"/>
    </row>
    <row r="342">
      <c r="A342" s="24"/>
      <c r="B342" s="24"/>
      <c r="C342" s="21" t="s">
        <v>241</v>
      </c>
      <c r="D342" s="24"/>
      <c r="E342" s="21" t="s">
        <v>912</v>
      </c>
      <c r="F342" s="52">
        <f>0.4*0.27</f>
        <v>0.108</v>
      </c>
      <c r="G342" s="24"/>
      <c r="H342" s="24"/>
      <c r="I342" s="50"/>
      <c r="J342" s="50"/>
      <c r="K342" s="24"/>
      <c r="L342" s="24"/>
      <c r="M342" s="24"/>
      <c r="N342" s="24"/>
      <c r="O342" s="24"/>
      <c r="P342" s="24"/>
      <c r="Q342" s="24"/>
      <c r="R342" s="24"/>
      <c r="S342" s="24"/>
      <c r="T342" s="24"/>
      <c r="U342" s="24"/>
      <c r="V342" s="24"/>
      <c r="W342" s="24"/>
      <c r="X342" s="24"/>
      <c r="Y342" s="24"/>
      <c r="Z342" s="24"/>
      <c r="AA342" s="24"/>
    </row>
    <row r="343">
      <c r="A343" s="24"/>
      <c r="B343" s="24"/>
      <c r="C343" s="21" t="s">
        <v>243</v>
      </c>
      <c r="D343" s="24"/>
      <c r="E343" s="21" t="s">
        <v>391</v>
      </c>
      <c r="F343" s="52">
        <f>0.6^2+0.75*0.4+2*0.62</f>
        <v>1.9</v>
      </c>
      <c r="G343" s="24"/>
      <c r="H343" s="24"/>
      <c r="I343" s="50"/>
      <c r="J343" s="50"/>
      <c r="K343" s="24"/>
      <c r="L343" s="24"/>
      <c r="M343" s="24"/>
      <c r="N343" s="24"/>
      <c r="O343" s="24"/>
      <c r="P343" s="24"/>
      <c r="Q343" s="24"/>
      <c r="R343" s="24"/>
      <c r="S343" s="24"/>
      <c r="T343" s="24"/>
      <c r="U343" s="24"/>
      <c r="V343" s="24"/>
      <c r="W343" s="24"/>
      <c r="X343" s="24"/>
      <c r="Y343" s="24"/>
      <c r="Z343" s="24"/>
      <c r="AA343" s="24"/>
    </row>
    <row r="344">
      <c r="A344" s="24"/>
      <c r="B344" s="24"/>
      <c r="C344" s="21" t="s">
        <v>246</v>
      </c>
      <c r="D344" s="24"/>
      <c r="E344" s="21" t="s">
        <v>414</v>
      </c>
      <c r="F344" s="52">
        <f>0.2^2*8</f>
        <v>0.32</v>
      </c>
      <c r="G344" s="24"/>
      <c r="H344" s="24"/>
      <c r="I344" s="50"/>
      <c r="J344" s="50"/>
      <c r="K344" s="24"/>
      <c r="L344" s="24"/>
      <c r="M344" s="24"/>
      <c r="N344" s="24"/>
      <c r="O344" s="24"/>
      <c r="P344" s="24"/>
      <c r="Q344" s="24"/>
      <c r="R344" s="24"/>
      <c r="S344" s="24"/>
      <c r="T344" s="24"/>
      <c r="U344" s="24"/>
      <c r="V344" s="24"/>
      <c r="W344" s="24"/>
      <c r="X344" s="24"/>
      <c r="Y344" s="24"/>
      <c r="Z344" s="24"/>
      <c r="AA344" s="24"/>
    </row>
    <row r="345">
      <c r="A345" s="24"/>
      <c r="B345" s="24"/>
      <c r="C345" s="21" t="s">
        <v>249</v>
      </c>
      <c r="D345" s="24"/>
      <c r="E345" s="21" t="s">
        <v>904</v>
      </c>
      <c r="F345" s="52">
        <f>0.2*0.2</f>
        <v>0.04</v>
      </c>
      <c r="G345" s="24"/>
      <c r="H345" s="24"/>
      <c r="I345" s="50"/>
      <c r="J345" s="50"/>
      <c r="K345" s="24"/>
      <c r="L345" s="24"/>
      <c r="M345" s="24"/>
      <c r="N345" s="24"/>
      <c r="O345" s="24"/>
      <c r="P345" s="24"/>
      <c r="Q345" s="24"/>
      <c r="R345" s="24"/>
      <c r="S345" s="24"/>
      <c r="T345" s="24"/>
      <c r="U345" s="24"/>
      <c r="V345" s="24"/>
      <c r="W345" s="24"/>
      <c r="X345" s="24"/>
      <c r="Y345" s="24"/>
      <c r="Z345" s="24"/>
      <c r="AA345" s="24"/>
    </row>
    <row r="346">
      <c r="A346" s="24"/>
      <c r="B346" s="24"/>
      <c r="C346" s="21" t="s">
        <v>252</v>
      </c>
      <c r="D346" s="24"/>
      <c r="E346" s="21" t="s">
        <v>354</v>
      </c>
      <c r="F346" s="52">
        <f>0.68*0.47+0.4^2+0.6*0.3+1*0.6+1.15*0.8+0.1*0.1</f>
        <v>2.1896</v>
      </c>
      <c r="G346" s="24"/>
      <c r="H346" s="24"/>
      <c r="I346" s="50"/>
      <c r="J346" s="50"/>
      <c r="K346" s="24"/>
      <c r="L346" s="24"/>
      <c r="M346" s="24"/>
      <c r="N346" s="24"/>
      <c r="O346" s="24"/>
      <c r="P346" s="24"/>
      <c r="Q346" s="24"/>
      <c r="R346" s="24"/>
      <c r="S346" s="24"/>
      <c r="T346" s="24"/>
      <c r="U346" s="24"/>
      <c r="V346" s="24"/>
      <c r="W346" s="24"/>
      <c r="X346" s="24"/>
      <c r="Y346" s="24"/>
      <c r="Z346" s="24"/>
      <c r="AA346" s="24"/>
    </row>
    <row r="347">
      <c r="A347" s="24"/>
      <c r="B347" s="24"/>
      <c r="C347" s="21" t="s">
        <v>255</v>
      </c>
      <c r="D347" s="24"/>
      <c r="E347" s="21" t="s">
        <v>913</v>
      </c>
      <c r="F347" s="49">
        <f>0.25*0.7+0.3^2</f>
        <v>0.265</v>
      </c>
      <c r="G347" s="24"/>
      <c r="H347" s="24"/>
      <c r="I347" s="50"/>
      <c r="J347" s="50"/>
      <c r="K347" s="24"/>
      <c r="L347" s="24"/>
      <c r="M347" s="24"/>
      <c r="N347" s="24"/>
      <c r="O347" s="24"/>
      <c r="P347" s="24"/>
      <c r="Q347" s="24"/>
      <c r="R347" s="24"/>
      <c r="S347" s="24"/>
      <c r="T347" s="24"/>
      <c r="U347" s="24"/>
      <c r="V347" s="24"/>
      <c r="W347" s="24"/>
      <c r="X347" s="24"/>
      <c r="Y347" s="24"/>
      <c r="Z347" s="24"/>
      <c r="AA347" s="24"/>
    </row>
    <row r="348">
      <c r="A348" s="24"/>
      <c r="B348" s="24"/>
      <c r="C348" s="21" t="s">
        <v>258</v>
      </c>
      <c r="D348" s="24"/>
      <c r="E348" s="21" t="s">
        <v>914</v>
      </c>
      <c r="F348" s="52">
        <f>0.34^2</f>
        <v>0.1156</v>
      </c>
      <c r="G348" s="24"/>
      <c r="H348" s="24"/>
      <c r="I348" s="50"/>
      <c r="J348" s="50"/>
      <c r="K348" s="24"/>
      <c r="L348" s="24"/>
      <c r="M348" s="24"/>
      <c r="N348" s="24"/>
      <c r="O348" s="24"/>
      <c r="P348" s="24"/>
      <c r="Q348" s="24"/>
      <c r="R348" s="24"/>
      <c r="S348" s="24"/>
      <c r="T348" s="24"/>
      <c r="U348" s="24"/>
      <c r="V348" s="24"/>
      <c r="W348" s="24"/>
      <c r="X348" s="24"/>
      <c r="Y348" s="24"/>
      <c r="Z348" s="24"/>
      <c r="AA348" s="24"/>
    </row>
    <row r="349">
      <c r="A349" s="24"/>
      <c r="B349" s="24"/>
      <c r="C349" s="21" t="s">
        <v>260</v>
      </c>
      <c r="D349" s="24"/>
      <c r="E349" s="21" t="s">
        <v>841</v>
      </c>
      <c r="F349" s="52">
        <f>0.35*0.15+0.55*0.3+1.5*0.6+0.93*0.8</f>
        <v>1.8615</v>
      </c>
      <c r="G349" s="24"/>
      <c r="H349" s="24"/>
      <c r="I349" s="50"/>
      <c r="J349" s="50"/>
      <c r="K349" s="24"/>
      <c r="L349" s="24"/>
      <c r="M349" s="24"/>
      <c r="N349" s="24"/>
      <c r="O349" s="24"/>
      <c r="P349" s="24"/>
      <c r="Q349" s="24"/>
      <c r="R349" s="24"/>
      <c r="S349" s="24"/>
      <c r="T349" s="24"/>
      <c r="U349" s="24"/>
      <c r="V349" s="24"/>
      <c r="W349" s="24"/>
      <c r="X349" s="24"/>
      <c r="Y349" s="24"/>
      <c r="Z349" s="24"/>
      <c r="AA349" s="24"/>
    </row>
    <row r="350">
      <c r="A350" s="24"/>
      <c r="B350" s="24"/>
      <c r="C350" s="21" t="s">
        <v>262</v>
      </c>
      <c r="D350" s="24"/>
      <c r="E350" s="21" t="s">
        <v>464</v>
      </c>
      <c r="F350" s="52">
        <f>0.45^2</f>
        <v>0.2025</v>
      </c>
      <c r="G350" s="24"/>
      <c r="H350" s="24"/>
      <c r="I350" s="50"/>
      <c r="J350" s="50"/>
      <c r="K350" s="24"/>
      <c r="L350" s="24"/>
      <c r="M350" s="24"/>
      <c r="N350" s="24"/>
      <c r="O350" s="24"/>
      <c r="P350" s="24"/>
      <c r="Q350" s="24"/>
      <c r="R350" s="24"/>
      <c r="S350" s="24"/>
      <c r="T350" s="24"/>
      <c r="U350" s="24"/>
      <c r="V350" s="24"/>
      <c r="W350" s="24"/>
      <c r="X350" s="24"/>
      <c r="Y350" s="24"/>
      <c r="Z350" s="24"/>
      <c r="AA350" s="24"/>
    </row>
    <row r="351">
      <c r="A351" s="24"/>
      <c r="B351" s="24"/>
      <c r="C351" s="21" t="s">
        <v>264</v>
      </c>
      <c r="D351" s="24"/>
      <c r="E351" s="21" t="s">
        <v>875</v>
      </c>
      <c r="F351" s="52">
        <f>0.5*0.3</f>
        <v>0.15</v>
      </c>
      <c r="G351" s="24"/>
      <c r="H351" s="24"/>
      <c r="I351" s="50"/>
      <c r="J351" s="50"/>
      <c r="K351" s="24"/>
      <c r="L351" s="24"/>
      <c r="M351" s="24"/>
      <c r="N351" s="24"/>
      <c r="O351" s="24"/>
      <c r="P351" s="24"/>
      <c r="Q351" s="24"/>
      <c r="R351" s="24"/>
      <c r="S351" s="24"/>
      <c r="T351" s="24"/>
      <c r="U351" s="24"/>
      <c r="V351" s="24"/>
      <c r="W351" s="24"/>
      <c r="X351" s="24"/>
      <c r="Y351" s="24"/>
      <c r="Z351" s="24"/>
      <c r="AA351" s="24"/>
    </row>
    <row r="352">
      <c r="A352" s="24"/>
      <c r="B352" s="24"/>
      <c r="C352" s="21" t="s">
        <v>266</v>
      </c>
      <c r="D352" s="24"/>
      <c r="E352" s="21" t="s">
        <v>239</v>
      </c>
      <c r="F352" s="52">
        <f>0.45*0.55*2+0.35*0.25</f>
        <v>0.5825</v>
      </c>
      <c r="G352" s="24"/>
      <c r="H352" s="24"/>
      <c r="I352" s="50"/>
      <c r="J352" s="50"/>
      <c r="K352" s="24"/>
      <c r="L352" s="24"/>
      <c r="M352" s="24"/>
      <c r="N352" s="24"/>
      <c r="O352" s="24"/>
      <c r="P352" s="24"/>
      <c r="Q352" s="24"/>
      <c r="R352" s="24"/>
      <c r="S352" s="24"/>
      <c r="T352" s="24"/>
      <c r="U352" s="24"/>
      <c r="V352" s="24"/>
      <c r="W352" s="24"/>
      <c r="X352" s="24"/>
      <c r="Y352" s="24"/>
      <c r="Z352" s="24"/>
      <c r="AA352" s="24"/>
    </row>
    <row r="353">
      <c r="A353" s="24"/>
      <c r="B353" s="24"/>
      <c r="C353" s="21" t="s">
        <v>268</v>
      </c>
      <c r="D353" s="24"/>
      <c r="E353" s="21" t="s">
        <v>227</v>
      </c>
      <c r="F353" s="52">
        <f>0.2^2*19</f>
        <v>0.76</v>
      </c>
      <c r="G353" s="24"/>
      <c r="H353" s="24"/>
      <c r="I353" s="50"/>
      <c r="J353" s="50"/>
      <c r="K353" s="24"/>
      <c r="L353" s="24"/>
      <c r="M353" s="24"/>
      <c r="N353" s="24"/>
      <c r="O353" s="24"/>
      <c r="P353" s="24"/>
      <c r="Q353" s="24"/>
      <c r="R353" s="24"/>
      <c r="S353" s="24"/>
      <c r="T353" s="24"/>
      <c r="U353" s="24"/>
      <c r="V353" s="24"/>
      <c r="W353" s="24"/>
      <c r="X353" s="24"/>
      <c r="Y353" s="24"/>
      <c r="Z353" s="24"/>
      <c r="AA353" s="24"/>
    </row>
    <row r="354">
      <c r="A354" s="24"/>
      <c r="B354" s="24"/>
      <c r="C354" s="21" t="s">
        <v>270</v>
      </c>
      <c r="D354" s="24"/>
      <c r="E354" s="21" t="s">
        <v>731</v>
      </c>
      <c r="F354" s="52">
        <f>0.55^2+0.35*0.26</f>
        <v>0.3935</v>
      </c>
      <c r="G354" s="24"/>
      <c r="H354" s="24"/>
      <c r="I354" s="50"/>
      <c r="J354" s="50"/>
      <c r="K354" s="24"/>
      <c r="L354" s="24"/>
      <c r="M354" s="24"/>
      <c r="N354" s="24"/>
      <c r="O354" s="24"/>
      <c r="P354" s="24"/>
      <c r="Q354" s="24"/>
      <c r="R354" s="24"/>
      <c r="S354" s="24"/>
      <c r="T354" s="24"/>
      <c r="U354" s="24"/>
      <c r="V354" s="24"/>
      <c r="W354" s="24"/>
      <c r="X354" s="24"/>
      <c r="Y354" s="24"/>
      <c r="Z354" s="24"/>
      <c r="AA354" s="24"/>
    </row>
    <row r="355">
      <c r="A355" s="24"/>
      <c r="B355" s="24"/>
      <c r="C355" s="21" t="s">
        <v>276</v>
      </c>
      <c r="D355" s="24"/>
      <c r="E355" s="21" t="s">
        <v>686</v>
      </c>
      <c r="F355" s="52">
        <f>0.35*0.38</f>
        <v>0.133</v>
      </c>
      <c r="G355" s="24"/>
      <c r="H355" s="24"/>
      <c r="I355" s="50"/>
      <c r="J355" s="50"/>
      <c r="K355" s="24"/>
      <c r="L355" s="24"/>
      <c r="M355" s="24"/>
      <c r="N355" s="24"/>
      <c r="O355" s="24"/>
      <c r="P355" s="24"/>
      <c r="Q355" s="24"/>
      <c r="R355" s="24"/>
      <c r="S355" s="24"/>
      <c r="T355" s="24"/>
      <c r="U355" s="24"/>
      <c r="V355" s="24"/>
      <c r="W355" s="24"/>
      <c r="X355" s="24"/>
      <c r="Y355" s="24"/>
      <c r="Z355" s="24"/>
      <c r="AA355" s="24"/>
    </row>
    <row r="356">
      <c r="A356" s="24"/>
      <c r="B356" s="24"/>
      <c r="C356" s="21" t="s">
        <v>279</v>
      </c>
      <c r="D356" s="24"/>
      <c r="E356" s="21" t="s">
        <v>896</v>
      </c>
      <c r="F356" s="52">
        <f>0.9*0.75</f>
        <v>0.675</v>
      </c>
      <c r="G356" s="24"/>
      <c r="H356" s="24"/>
      <c r="I356" s="50"/>
      <c r="J356" s="50"/>
      <c r="K356" s="24"/>
      <c r="L356" s="24"/>
      <c r="M356" s="24"/>
      <c r="N356" s="24"/>
      <c r="O356" s="24"/>
      <c r="P356" s="24"/>
      <c r="Q356" s="24"/>
      <c r="R356" s="24"/>
      <c r="S356" s="24"/>
      <c r="T356" s="24"/>
      <c r="U356" s="24"/>
      <c r="V356" s="24"/>
      <c r="W356" s="24"/>
      <c r="X356" s="24"/>
      <c r="Y356" s="24"/>
      <c r="Z356" s="24"/>
      <c r="AA356" s="24"/>
    </row>
    <row r="357">
      <c r="A357" s="24"/>
      <c r="B357" s="24"/>
      <c r="C357" s="21" t="s">
        <v>281</v>
      </c>
      <c r="D357" s="24"/>
      <c r="E357" s="21" t="s">
        <v>201</v>
      </c>
      <c r="F357" s="52">
        <f>1.9*2</f>
        <v>3.8</v>
      </c>
      <c r="G357" s="24"/>
      <c r="H357" s="24"/>
      <c r="I357" s="50"/>
      <c r="J357" s="50"/>
      <c r="K357" s="24"/>
      <c r="L357" s="24"/>
      <c r="M357" s="24"/>
      <c r="N357" s="24"/>
      <c r="O357" s="24"/>
      <c r="P357" s="24"/>
      <c r="Q357" s="24"/>
      <c r="R357" s="24"/>
      <c r="S357" s="24"/>
      <c r="T357" s="24"/>
      <c r="U357" s="24"/>
      <c r="V357" s="24"/>
      <c r="W357" s="24"/>
      <c r="X357" s="24"/>
      <c r="Y357" s="24"/>
      <c r="Z357" s="24"/>
      <c r="AA357" s="24"/>
    </row>
    <row r="358">
      <c r="A358" s="24"/>
      <c r="B358" s="24"/>
      <c r="C358" s="21" t="s">
        <v>284</v>
      </c>
      <c r="D358" s="24"/>
      <c r="E358" s="21" t="s">
        <v>537</v>
      </c>
      <c r="F358" s="52">
        <f>0.7*0.37</f>
        <v>0.259</v>
      </c>
      <c r="G358" s="24"/>
      <c r="H358" s="24"/>
      <c r="I358" s="50"/>
      <c r="J358" s="50"/>
      <c r="K358" s="24"/>
      <c r="L358" s="24"/>
      <c r="M358" s="24"/>
      <c r="N358" s="24"/>
      <c r="O358" s="24"/>
      <c r="P358" s="24"/>
      <c r="Q358" s="24"/>
      <c r="R358" s="24"/>
      <c r="S358" s="24"/>
      <c r="T358" s="24"/>
      <c r="U358" s="24"/>
      <c r="V358" s="24"/>
      <c r="W358" s="24"/>
      <c r="X358" s="24"/>
      <c r="Y358" s="24"/>
      <c r="Z358" s="24"/>
      <c r="AA358" s="24"/>
    </row>
    <row r="359">
      <c r="A359" s="24"/>
      <c r="B359" s="24"/>
      <c r="C359" s="21" t="s">
        <v>286</v>
      </c>
      <c r="D359" s="24"/>
      <c r="E359" s="21" t="s">
        <v>876</v>
      </c>
      <c r="F359" s="52">
        <f>1*0.5</f>
        <v>0.5</v>
      </c>
      <c r="G359" s="24"/>
      <c r="H359" s="24"/>
      <c r="I359" s="50"/>
      <c r="J359" s="50"/>
      <c r="K359" s="24"/>
      <c r="L359" s="24"/>
      <c r="M359" s="24"/>
      <c r="N359" s="24"/>
      <c r="O359" s="24"/>
      <c r="P359" s="24"/>
      <c r="Q359" s="24"/>
      <c r="R359" s="24"/>
      <c r="S359" s="24"/>
      <c r="T359" s="24"/>
      <c r="U359" s="24"/>
      <c r="V359" s="24"/>
      <c r="W359" s="24"/>
      <c r="X359" s="24"/>
      <c r="Y359" s="24"/>
      <c r="Z359" s="24"/>
      <c r="AA359" s="24"/>
    </row>
    <row r="360">
      <c r="A360" s="24"/>
      <c r="B360" s="24"/>
      <c r="C360" s="21" t="s">
        <v>288</v>
      </c>
      <c r="D360" s="24"/>
      <c r="E360" s="21" t="s">
        <v>543</v>
      </c>
      <c r="F360" s="52">
        <f>2*2</f>
        <v>4</v>
      </c>
      <c r="G360" s="24"/>
      <c r="H360" s="24"/>
      <c r="I360" s="50"/>
      <c r="J360" s="50"/>
      <c r="K360" s="24"/>
      <c r="L360" s="24"/>
      <c r="M360" s="24"/>
      <c r="N360" s="24"/>
      <c r="O360" s="24"/>
      <c r="P360" s="24"/>
      <c r="Q360" s="24"/>
      <c r="R360" s="24"/>
      <c r="S360" s="24"/>
      <c r="T360" s="24"/>
      <c r="U360" s="24"/>
      <c r="V360" s="24"/>
      <c r="W360" s="24"/>
      <c r="X360" s="24"/>
      <c r="Y360" s="24"/>
      <c r="Z360" s="24"/>
      <c r="AA360" s="24"/>
    </row>
    <row r="361">
      <c r="A361" s="18" t="s">
        <v>11</v>
      </c>
      <c r="B361" s="19">
        <v>46203.0</v>
      </c>
      <c r="C361" s="18" t="s">
        <v>99</v>
      </c>
      <c r="D361" s="18" t="s">
        <v>585</v>
      </c>
      <c r="E361" s="18" t="s">
        <v>586</v>
      </c>
      <c r="F361" s="41">
        <v>3.66</v>
      </c>
      <c r="I361" s="47"/>
      <c r="J361" s="47"/>
    </row>
    <row r="362">
      <c r="C362" s="18" t="s">
        <v>124</v>
      </c>
      <c r="E362" s="18" t="s">
        <v>543</v>
      </c>
      <c r="F362" s="41">
        <f>1.5*1.5*2</f>
        <v>4.5</v>
      </c>
      <c r="I362" s="47"/>
      <c r="J362" s="47"/>
    </row>
    <row r="363">
      <c r="C363" s="18" t="s">
        <v>142</v>
      </c>
      <c r="E363" s="18" t="s">
        <v>915</v>
      </c>
      <c r="F363" s="41">
        <f>0.3*0.2*21</f>
        <v>1.26</v>
      </c>
      <c r="I363" s="47"/>
      <c r="J363" s="47"/>
    </row>
    <row r="364">
      <c r="C364" s="18" t="s">
        <v>164</v>
      </c>
      <c r="E364" s="18" t="s">
        <v>201</v>
      </c>
      <c r="F364" s="41">
        <f>1*0.8+1.5^2*3</f>
        <v>7.55</v>
      </c>
      <c r="I364" s="47"/>
      <c r="J364" s="47"/>
    </row>
    <row r="365">
      <c r="C365" s="18" t="s">
        <v>183</v>
      </c>
      <c r="E365" s="18" t="s">
        <v>686</v>
      </c>
      <c r="F365" s="41">
        <f>1.1*0.8</f>
        <v>0.88</v>
      </c>
      <c r="I365" s="47"/>
      <c r="J365" s="47"/>
    </row>
    <row r="366">
      <c r="C366" s="18" t="s">
        <v>203</v>
      </c>
      <c r="E366" s="18" t="s">
        <v>627</v>
      </c>
      <c r="F366" s="41">
        <f>0.8*0.4+0.2*0.2+0.42^2</f>
        <v>0.5364</v>
      </c>
      <c r="I366" s="47"/>
      <c r="J366" s="47"/>
    </row>
    <row r="367">
      <c r="C367" s="18" t="s">
        <v>235</v>
      </c>
      <c r="E367" s="18" t="s">
        <v>256</v>
      </c>
      <c r="F367" s="41">
        <f>1*1.22+0.6*1.1+0.6*1.22+0.6*0.6*3+0.7*0.4+0.55*0.75+7*0.6+1.1*0.61+1.22*0.5</f>
        <v>9.8655</v>
      </c>
      <c r="I367" s="47"/>
      <c r="J367" s="47"/>
    </row>
    <row r="368">
      <c r="C368" s="18" t="s">
        <v>238</v>
      </c>
      <c r="E368" s="18" t="s">
        <v>841</v>
      </c>
      <c r="F368" s="41">
        <f>1.22*0.5+0.2*0.2+1.22*0.22+1.22*0.5+1.22*1.25+1.1*0.61+0.72*1.22</f>
        <v>4.6028</v>
      </c>
      <c r="I368" s="47"/>
      <c r="J368" s="47"/>
    </row>
    <row r="369">
      <c r="C369" s="18" t="s">
        <v>241</v>
      </c>
      <c r="E369" s="18" t="s">
        <v>887</v>
      </c>
      <c r="F369" s="41">
        <f>0.25^2*19</f>
        <v>1.1875</v>
      </c>
      <c r="I369" s="47"/>
      <c r="J369" s="47"/>
    </row>
    <row r="370">
      <c r="C370" s="18" t="s">
        <v>243</v>
      </c>
      <c r="E370" s="18" t="s">
        <v>524</v>
      </c>
      <c r="F370" s="41">
        <f>0.65*0.35</f>
        <v>0.2275</v>
      </c>
      <c r="I370" s="47"/>
      <c r="J370" s="47"/>
    </row>
    <row r="371">
      <c r="C371" s="18" t="s">
        <v>246</v>
      </c>
      <c r="E371" s="18" t="s">
        <v>916</v>
      </c>
      <c r="F371" s="41">
        <f>0.45^2</f>
        <v>0.2025</v>
      </c>
      <c r="I371" s="47"/>
      <c r="J371" s="47"/>
    </row>
    <row r="372">
      <c r="C372" s="18" t="s">
        <v>249</v>
      </c>
      <c r="E372" s="18" t="s">
        <v>630</v>
      </c>
      <c r="F372" s="41">
        <f>0.25*0.75+0.63*0.36</f>
        <v>0.4143</v>
      </c>
      <c r="I372" s="47"/>
      <c r="J372" s="47"/>
    </row>
    <row r="373">
      <c r="C373" s="18" t="s">
        <v>252</v>
      </c>
      <c r="E373" s="18" t="s">
        <v>718</v>
      </c>
      <c r="F373" s="41">
        <f>1*0.35</f>
        <v>0.35</v>
      </c>
      <c r="I373" s="47"/>
      <c r="J373" s="47"/>
    </row>
    <row r="374">
      <c r="C374" s="18" t="s">
        <v>255</v>
      </c>
      <c r="E374" s="18" t="s">
        <v>312</v>
      </c>
      <c r="F374" s="41">
        <f>1.22*1.22+0.5*1.22</f>
        <v>2.0984</v>
      </c>
      <c r="I374" s="47"/>
      <c r="J374" s="47"/>
    </row>
    <row r="375">
      <c r="C375" s="18" t="s">
        <v>258</v>
      </c>
      <c r="E375" s="18" t="s">
        <v>913</v>
      </c>
      <c r="F375" s="41">
        <f>0.15*0.15*5</f>
        <v>0.1125</v>
      </c>
      <c r="I375" s="47"/>
      <c r="J375" s="47"/>
    </row>
    <row r="376">
      <c r="C376" s="18" t="s">
        <v>260</v>
      </c>
      <c r="E376" s="18" t="s">
        <v>883</v>
      </c>
      <c r="F376" s="41">
        <f>0.5*0.15</f>
        <v>0.075</v>
      </c>
      <c r="I376" s="47"/>
      <c r="J376" s="47"/>
    </row>
    <row r="377">
      <c r="C377" s="18" t="s">
        <v>262</v>
      </c>
      <c r="E377" s="18" t="s">
        <v>901</v>
      </c>
      <c r="F377" s="41">
        <f>1.22*0.53</f>
        <v>0.6466</v>
      </c>
      <c r="I377" s="47"/>
      <c r="J377" s="47"/>
    </row>
    <row r="378">
      <c r="C378" s="18" t="s">
        <v>264</v>
      </c>
      <c r="E378" s="18" t="s">
        <v>391</v>
      </c>
      <c r="F378" s="41">
        <f>1.3*0.65</f>
        <v>0.845</v>
      </c>
      <c r="I378" s="47"/>
      <c r="J378" s="47"/>
    </row>
    <row r="379">
      <c r="C379" s="18" t="s">
        <v>266</v>
      </c>
      <c r="E379" s="18" t="s">
        <v>454</v>
      </c>
      <c r="F379" s="41">
        <f>0.78*0.35</f>
        <v>0.273</v>
      </c>
      <c r="I379" s="47"/>
      <c r="J379" s="47"/>
    </row>
    <row r="380">
      <c r="C380" s="18" t="s">
        <v>268</v>
      </c>
      <c r="E380" s="18" t="s">
        <v>917</v>
      </c>
      <c r="F380" s="41">
        <f>1*0.37</f>
        <v>0.37</v>
      </c>
      <c r="I380" s="47"/>
      <c r="J380" s="47"/>
    </row>
    <row r="381">
      <c r="C381" s="18" t="s">
        <v>270</v>
      </c>
      <c r="E381" s="18" t="s">
        <v>918</v>
      </c>
      <c r="F381" s="29">
        <f>0.7*0.42</f>
        <v>0.294</v>
      </c>
      <c r="I381" s="47"/>
      <c r="J381" s="47"/>
    </row>
    <row r="382">
      <c r="C382" s="18" t="s">
        <v>276</v>
      </c>
      <c r="E382" s="18" t="s">
        <v>642</v>
      </c>
      <c r="F382" s="41">
        <f>3*3</f>
        <v>9</v>
      </c>
      <c r="I382" s="47"/>
      <c r="J382" s="47"/>
    </row>
    <row r="383">
      <c r="C383" s="18" t="s">
        <v>279</v>
      </c>
      <c r="E383" s="18" t="s">
        <v>247</v>
      </c>
      <c r="F383" s="41">
        <f>1.4*1.4</f>
        <v>1.96</v>
      </c>
      <c r="G383" s="18"/>
      <c r="H383" s="18" t="s">
        <v>919</v>
      </c>
      <c r="I383" s="47"/>
      <c r="J383" s="47"/>
    </row>
    <row r="384">
      <c r="C384" s="18" t="s">
        <v>281</v>
      </c>
      <c r="E384" s="18" t="s">
        <v>399</v>
      </c>
      <c r="F384" s="41">
        <f>3*1.8</f>
        <v>5.4</v>
      </c>
      <c r="I384" s="47"/>
      <c r="J384" s="47"/>
    </row>
    <row r="385">
      <c r="C385" s="18" t="s">
        <v>284</v>
      </c>
      <c r="E385" s="18" t="s">
        <v>875</v>
      </c>
      <c r="F385" s="41">
        <f>1.15*0.86</f>
        <v>0.989</v>
      </c>
      <c r="I385" s="47"/>
      <c r="J385" s="47"/>
    </row>
    <row r="386">
      <c r="C386" s="18" t="s">
        <v>286</v>
      </c>
      <c r="E386" s="18" t="s">
        <v>920</v>
      </c>
      <c r="F386" s="41">
        <f>0.1*0.1</f>
        <v>0.01</v>
      </c>
      <c r="I386" s="47"/>
      <c r="J386" s="47"/>
    </row>
    <row r="387">
      <c r="C387" s="18" t="s">
        <v>288</v>
      </c>
      <c r="E387" s="18" t="s">
        <v>537</v>
      </c>
      <c r="F387" s="41">
        <f>1.12*0.93</f>
        <v>1.0416</v>
      </c>
      <c r="I387" s="47"/>
      <c r="J387" s="47"/>
    </row>
    <row r="388">
      <c r="C388" s="18" t="s">
        <v>291</v>
      </c>
      <c r="E388" s="18" t="s">
        <v>538</v>
      </c>
      <c r="F388" s="41">
        <f>0.48*0.62</f>
        <v>0.2976</v>
      </c>
      <c r="I388" s="47"/>
      <c r="J388" s="47"/>
    </row>
    <row r="389">
      <c r="C389" s="18" t="s">
        <v>293</v>
      </c>
      <c r="E389" s="18" t="s">
        <v>417</v>
      </c>
      <c r="F389" s="41">
        <f>1.25*0.95</f>
        <v>1.1875</v>
      </c>
      <c r="I389" s="47"/>
      <c r="J389" s="47"/>
    </row>
    <row r="390">
      <c r="A390" s="21" t="s">
        <v>9</v>
      </c>
      <c r="B390" s="22">
        <v>46211.0</v>
      </c>
      <c r="C390" s="21" t="s">
        <v>99</v>
      </c>
      <c r="D390" s="46" t="str">
        <f t="array" ref="D390">XLOOKUP(E390,'flower key'!A:A,'flower key'!B:B, "-")</f>
        <v>-</v>
      </c>
      <c r="E390" s="21" t="s">
        <v>543</v>
      </c>
      <c r="F390" s="52">
        <f>0.96*1.4</f>
        <v>1.344</v>
      </c>
      <c r="G390" s="21">
        <v>1.1</v>
      </c>
      <c r="H390" s="24"/>
      <c r="I390" s="50"/>
      <c r="J390" s="50"/>
      <c r="K390" s="24"/>
      <c r="L390" s="24"/>
      <c r="M390" s="24"/>
      <c r="N390" s="24"/>
      <c r="O390" s="24"/>
      <c r="P390" s="24"/>
      <c r="Q390" s="24"/>
      <c r="R390" s="24"/>
      <c r="S390" s="24"/>
      <c r="T390" s="24"/>
      <c r="U390" s="24"/>
      <c r="V390" s="24"/>
      <c r="W390" s="24"/>
      <c r="X390" s="24"/>
      <c r="Y390" s="24"/>
      <c r="Z390" s="24"/>
      <c r="AA390" s="24"/>
    </row>
    <row r="391">
      <c r="A391" s="24"/>
      <c r="B391" s="24"/>
      <c r="C391" s="21" t="s">
        <v>124</v>
      </c>
      <c r="D391" s="46" t="str">
        <f t="array" ref="D391">XLOOKUP(E391,'flower key'!A:A,'flower key'!B:B, "-")</f>
        <v>Cucumis sativus</v>
      </c>
      <c r="E391" s="21" t="s">
        <v>841</v>
      </c>
      <c r="F391" s="52">
        <f>0.6*0.7+0.42*0.24</f>
        <v>0.5208</v>
      </c>
      <c r="G391" s="21">
        <v>0.5</v>
      </c>
      <c r="H391" s="24"/>
      <c r="I391" s="50"/>
      <c r="J391" s="50"/>
      <c r="K391" s="24"/>
      <c r="L391" s="24"/>
      <c r="M391" s="24"/>
      <c r="N391" s="24"/>
      <c r="O391" s="24"/>
      <c r="P391" s="24"/>
      <c r="Q391" s="24"/>
      <c r="R391" s="24"/>
      <c r="S391" s="24"/>
      <c r="T391" s="24"/>
      <c r="U391" s="24"/>
      <c r="V391" s="24"/>
      <c r="W391" s="24"/>
      <c r="X391" s="24"/>
      <c r="Y391" s="24"/>
      <c r="Z391" s="24"/>
      <c r="AA391" s="24"/>
    </row>
    <row r="392">
      <c r="A392" s="24"/>
      <c r="B392" s="24"/>
      <c r="C392" s="21" t="s">
        <v>142</v>
      </c>
      <c r="D392" s="46" t="str">
        <f t="array" ref="D392">XLOOKUP(E392,'flower key'!A:A,'flower key'!B:B, "-")</f>
        <v>-</v>
      </c>
      <c r="E392" s="21" t="s">
        <v>921</v>
      </c>
      <c r="F392" s="52">
        <f>0.78*0.95</f>
        <v>0.741</v>
      </c>
      <c r="G392" s="21">
        <v>1.88</v>
      </c>
      <c r="H392" s="24"/>
      <c r="I392" s="50"/>
      <c r="J392" s="50"/>
      <c r="K392" s="24"/>
      <c r="L392" s="24"/>
      <c r="M392" s="24"/>
      <c r="N392" s="24"/>
      <c r="O392" s="24"/>
      <c r="P392" s="24"/>
      <c r="Q392" s="24"/>
      <c r="R392" s="24"/>
      <c r="S392" s="24"/>
      <c r="T392" s="24"/>
      <c r="U392" s="24"/>
      <c r="V392" s="24"/>
      <c r="W392" s="24"/>
      <c r="X392" s="24"/>
      <c r="Y392" s="24"/>
      <c r="Z392" s="24"/>
      <c r="AA392" s="24"/>
    </row>
    <row r="393">
      <c r="A393" s="24"/>
      <c r="B393" s="24"/>
      <c r="C393" s="21" t="s">
        <v>164</v>
      </c>
      <c r="D393" s="46" t="str">
        <f t="array" ref="D393">XLOOKUP(E393,'flower key'!A:A,'flower key'!B:B, "-")</f>
        <v>Galinsoga quadriradiata</v>
      </c>
      <c r="E393" s="21" t="s">
        <v>414</v>
      </c>
      <c r="F393" s="52">
        <f>1.18*0.36*3</f>
        <v>1.2744</v>
      </c>
      <c r="G393" s="21">
        <v>0.4</v>
      </c>
      <c r="H393" s="24"/>
      <c r="I393" s="50"/>
      <c r="J393" s="50"/>
      <c r="K393" s="24"/>
      <c r="L393" s="24"/>
      <c r="M393" s="24"/>
      <c r="N393" s="24"/>
      <c r="O393" s="24"/>
      <c r="P393" s="24"/>
      <c r="Q393" s="24"/>
      <c r="R393" s="24"/>
      <c r="S393" s="24"/>
      <c r="T393" s="24"/>
      <c r="U393" s="24"/>
      <c r="V393" s="24"/>
      <c r="W393" s="24"/>
      <c r="X393" s="24"/>
      <c r="Y393" s="24"/>
      <c r="Z393" s="24"/>
      <c r="AA393" s="24"/>
    </row>
    <row r="394">
      <c r="A394" s="24"/>
      <c r="B394" s="24"/>
      <c r="C394" s="21" t="s">
        <v>183</v>
      </c>
      <c r="D394" s="46" t="str">
        <f t="array" ref="D394">XLOOKUP(E394,'flower key'!A:A,'flower key'!B:B, "-")</f>
        <v>Commelina communis</v>
      </c>
      <c r="E394" s="21" t="s">
        <v>890</v>
      </c>
      <c r="F394" s="49" t="s">
        <v>98</v>
      </c>
      <c r="G394" s="21" t="s">
        <v>98</v>
      </c>
      <c r="H394" s="24"/>
      <c r="I394" s="50"/>
      <c r="J394" s="50"/>
      <c r="K394" s="24"/>
      <c r="L394" s="24"/>
      <c r="M394" s="24"/>
      <c r="N394" s="24"/>
      <c r="O394" s="24"/>
      <c r="P394" s="24"/>
      <c r="Q394" s="24"/>
      <c r="R394" s="24"/>
      <c r="S394" s="24"/>
      <c r="T394" s="24"/>
      <c r="U394" s="24"/>
      <c r="V394" s="24"/>
      <c r="W394" s="24"/>
      <c r="X394" s="24"/>
      <c r="Y394" s="24"/>
      <c r="Z394" s="24"/>
      <c r="AA394" s="24"/>
    </row>
    <row r="395">
      <c r="A395" s="24"/>
      <c r="B395" s="24"/>
      <c r="C395" s="21" t="s">
        <v>203</v>
      </c>
      <c r="D395" s="46" t="str">
        <f t="array" ref="D395">XLOOKUP(E395,'flower key'!A:A,'flower key'!B:B, "-")</f>
        <v>Solanum lycopersicum</v>
      </c>
      <c r="E395" s="21" t="s">
        <v>256</v>
      </c>
      <c r="F395" s="52">
        <f>0.4*0.4*6</f>
        <v>0.96</v>
      </c>
      <c r="G395" s="21">
        <v>0.75</v>
      </c>
      <c r="H395" s="24"/>
      <c r="I395" s="50"/>
      <c r="J395" s="50"/>
      <c r="K395" s="24"/>
      <c r="L395" s="24"/>
      <c r="M395" s="24"/>
      <c r="N395" s="24"/>
      <c r="O395" s="24"/>
      <c r="P395" s="24"/>
      <c r="Q395" s="24"/>
      <c r="R395" s="24"/>
      <c r="S395" s="24"/>
      <c r="T395" s="24"/>
      <c r="U395" s="24"/>
      <c r="V395" s="24"/>
      <c r="W395" s="24"/>
      <c r="X395" s="24"/>
      <c r="Y395" s="24"/>
      <c r="Z395" s="24"/>
      <c r="AA395" s="24"/>
    </row>
    <row r="396">
      <c r="A396" s="24"/>
      <c r="B396" s="24"/>
      <c r="C396" s="21" t="s">
        <v>235</v>
      </c>
      <c r="D396" s="46" t="str">
        <f t="array" ref="D396">XLOOKUP(E396,'flower key'!A:A,'flower key'!B:B, "-")</f>
        <v>Oxalis stricta</v>
      </c>
      <c r="E396" s="21" t="s">
        <v>922</v>
      </c>
      <c r="F396" s="52">
        <f>0.2*0.2</f>
        <v>0.04</v>
      </c>
      <c r="G396" s="21">
        <v>0.25</v>
      </c>
      <c r="H396" s="24"/>
      <c r="I396" s="50"/>
      <c r="J396" s="50"/>
      <c r="K396" s="24"/>
      <c r="L396" s="24"/>
      <c r="M396" s="24"/>
      <c r="N396" s="24"/>
      <c r="O396" s="24"/>
      <c r="P396" s="24"/>
      <c r="Q396" s="24"/>
      <c r="R396" s="24"/>
      <c r="S396" s="24"/>
      <c r="T396" s="24"/>
      <c r="U396" s="24"/>
      <c r="V396" s="24"/>
      <c r="W396" s="24"/>
      <c r="X396" s="24"/>
      <c r="Y396" s="24"/>
      <c r="Z396" s="24"/>
      <c r="AA396" s="24"/>
    </row>
    <row r="397">
      <c r="A397" s="18" t="s">
        <v>16</v>
      </c>
      <c r="B397" s="19">
        <v>46211.0</v>
      </c>
      <c r="C397" s="18" t="s">
        <v>99</v>
      </c>
      <c r="D397" s="46" t="str">
        <f t="array" ref="D397">XLOOKUP(E397,'flower key'!A:A,'flower key'!B:B, "-")</f>
        <v>Cucurbita pepo</v>
      </c>
      <c r="E397" s="18" t="s">
        <v>888</v>
      </c>
      <c r="F397" s="41">
        <f>0.85*0.52*8</f>
        <v>3.536</v>
      </c>
      <c r="G397" s="18">
        <v>0.2</v>
      </c>
      <c r="I397" s="47"/>
      <c r="J397" s="47"/>
    </row>
    <row r="398">
      <c r="C398" s="18" t="s">
        <v>124</v>
      </c>
      <c r="D398" s="46" t="str">
        <f t="array" ref="D398">XLOOKUP(E398,'flower key'!A:A,'flower key'!B:B, "-")</f>
        <v>Solanum lycopersicum</v>
      </c>
      <c r="E398" s="18" t="s">
        <v>256</v>
      </c>
      <c r="F398" s="41">
        <f>0.65*0.65*10</f>
        <v>4.225</v>
      </c>
      <c r="G398" s="18">
        <v>1.2</v>
      </c>
      <c r="I398" s="47"/>
      <c r="J398" s="47"/>
    </row>
    <row r="399">
      <c r="C399" s="18" t="s">
        <v>142</v>
      </c>
      <c r="D399" s="46" t="str">
        <f t="array" ref="D399">XLOOKUP(E399,'flower key'!A:A,'flower key'!B:B, "-")</f>
        <v>Cucumis sativus</v>
      </c>
      <c r="E399" s="18" t="s">
        <v>841</v>
      </c>
      <c r="F399" s="41">
        <f>1.25*1.25</f>
        <v>1.5625</v>
      </c>
      <c r="G399" s="18">
        <v>0.9</v>
      </c>
      <c r="I399" s="47"/>
      <c r="J399" s="47"/>
    </row>
    <row r="400">
      <c r="C400" s="18" t="s">
        <v>164</v>
      </c>
      <c r="D400" s="46" t="str">
        <f t="array" ref="D400">XLOOKUP(E400,'flower key'!A:A,'flower key'!B:B, "-")</f>
        <v>Hydrangea macrophylla</v>
      </c>
      <c r="E400" s="18" t="s">
        <v>201</v>
      </c>
      <c r="F400" s="41">
        <f>2.5*2.5</f>
        <v>6.25</v>
      </c>
      <c r="G400" s="18">
        <v>1.6</v>
      </c>
      <c r="I400" s="47"/>
      <c r="J400" s="47"/>
    </row>
    <row r="401">
      <c r="C401" s="18" t="s">
        <v>183</v>
      </c>
      <c r="D401" s="46" t="str">
        <f t="array" ref="D401">XLOOKUP(E401,'flower key'!A:A,'flower key'!B:B, "-")</f>
        <v>Tagetes lemmonii</v>
      </c>
      <c r="E401" s="18" t="s">
        <v>887</v>
      </c>
      <c r="F401" s="41">
        <f>0.43*0.46</f>
        <v>0.1978</v>
      </c>
      <c r="G401" s="18">
        <v>0.95</v>
      </c>
      <c r="I401" s="47"/>
      <c r="J401" s="47"/>
    </row>
    <row r="402">
      <c r="C402" s="18" t="s">
        <v>203</v>
      </c>
      <c r="D402" s="46" t="str">
        <f t="array" ref="D402">XLOOKUP(E402,'flower key'!A:A,'flower key'!B:B, "-")</f>
        <v>Coriandrum sativum</v>
      </c>
      <c r="E402" s="18" t="s">
        <v>524</v>
      </c>
      <c r="F402" s="41">
        <f>0.25*0.26</f>
        <v>0.065</v>
      </c>
      <c r="G402" s="18">
        <v>0.3</v>
      </c>
      <c r="I402" s="47"/>
      <c r="J402" s="47"/>
    </row>
    <row r="403">
      <c r="C403" s="18" t="s">
        <v>235</v>
      </c>
      <c r="D403" s="46" t="str">
        <f t="array" ref="D403">XLOOKUP(E403,'flower key'!A:A,'flower key'!B:B, "-")</f>
        <v>Hibiscus syriacus </v>
      </c>
      <c r="E403" s="18" t="s">
        <v>923</v>
      </c>
      <c r="F403" s="41">
        <f>1.14*1.36+2*2.3</f>
        <v>6.1504</v>
      </c>
      <c r="G403" s="18" t="s">
        <v>924</v>
      </c>
      <c r="I403" s="47"/>
      <c r="J403" s="47"/>
    </row>
    <row r="404">
      <c r="C404" s="18" t="s">
        <v>238</v>
      </c>
      <c r="D404" s="46" t="str">
        <f t="array" ref="D404">XLOOKUP(E404,'flower key'!A:A,'flower key'!B:B, "-")</f>
        <v>Persicaria longiseta</v>
      </c>
      <c r="E404" s="18" t="s">
        <v>718</v>
      </c>
      <c r="F404" s="41">
        <f>0.5*0.3</f>
        <v>0.15</v>
      </c>
      <c r="G404" s="18">
        <v>0.3</v>
      </c>
      <c r="I404" s="47"/>
      <c r="J404" s="47"/>
    </row>
    <row r="405">
      <c r="C405" s="18" t="s">
        <v>241</v>
      </c>
      <c r="D405" s="46" t="str">
        <f t="array" ref="D405">XLOOKUP(E405,'flower key'!A:A,'flower key'!B:B, "-")</f>
        <v/>
      </c>
      <c r="E405" s="18" t="s">
        <v>227</v>
      </c>
      <c r="F405" s="41">
        <f>0.44*0.3*2</f>
        <v>0.264</v>
      </c>
      <c r="G405" s="18">
        <v>0.57</v>
      </c>
      <c r="I405" s="47"/>
      <c r="J405" s="47"/>
    </row>
    <row r="406">
      <c r="C406" s="18" t="s">
        <v>243</v>
      </c>
      <c r="D406" s="46" t="str">
        <f t="array" ref="D406">XLOOKUP(E406,'flower key'!A:A,'flower key'!B:B, "-")</f>
        <v>-</v>
      </c>
      <c r="E406" s="18" t="s">
        <v>896</v>
      </c>
      <c r="F406" s="41">
        <f>0.52^2*3</f>
        <v>0.8112</v>
      </c>
      <c r="G406" s="18">
        <v>0.78</v>
      </c>
      <c r="I406" s="47"/>
      <c r="J406" s="47"/>
    </row>
    <row r="407">
      <c r="C407" s="18" t="s">
        <v>246</v>
      </c>
      <c r="D407" s="46" t="str">
        <f t="array" ref="D407">XLOOKUP(E407,'flower key'!A:A,'flower key'!B:B, "-")</f>
        <v>Trifolium repens</v>
      </c>
      <c r="E407" s="18" t="s">
        <v>529</v>
      </c>
      <c r="F407" s="29" t="s">
        <v>98</v>
      </c>
      <c r="G407" s="18">
        <v>0.1</v>
      </c>
      <c r="I407" s="47"/>
      <c r="J407" s="47"/>
    </row>
    <row r="408">
      <c r="C408" s="18" t="s">
        <v>249</v>
      </c>
      <c r="D408" s="46" t="str">
        <f t="array" ref="D408">XLOOKUP(E408,'flower key'!A:A,'flower key'!B:B, "-")</f>
        <v>-</v>
      </c>
      <c r="E408" s="18" t="s">
        <v>925</v>
      </c>
      <c r="F408" s="41">
        <f>0.4*0.2</f>
        <v>0.08</v>
      </c>
      <c r="G408" s="18">
        <v>0.2</v>
      </c>
      <c r="I408" s="47"/>
      <c r="J408" s="47"/>
    </row>
    <row r="409">
      <c r="C409" s="18" t="s">
        <v>252</v>
      </c>
      <c r="D409" s="46" t="str">
        <f t="array" ref="D409">XLOOKUP(E409,'flower key'!A:A,'flower key'!B:B, "-")</f>
        <v>-</v>
      </c>
      <c r="E409" s="18" t="s">
        <v>543</v>
      </c>
      <c r="F409" s="41">
        <f>0.9*1.5</f>
        <v>1.35</v>
      </c>
      <c r="G409" s="18">
        <v>1.6</v>
      </c>
      <c r="I409" s="47"/>
      <c r="J409" s="47"/>
    </row>
    <row r="410">
      <c r="C410" s="18" t="s">
        <v>255</v>
      </c>
      <c r="D410" s="46" t="str">
        <f t="array" ref="D410">XLOOKUP(E410,'flower key'!A:A,'flower key'!B:B, "-")</f>
        <v>Commelina communis</v>
      </c>
      <c r="E410" s="18" t="s">
        <v>890</v>
      </c>
      <c r="F410" s="41">
        <f>1.3*0.5</f>
        <v>0.65</v>
      </c>
      <c r="G410" s="18">
        <v>0.41</v>
      </c>
      <c r="I410" s="47"/>
      <c r="J410" s="47"/>
    </row>
    <row r="411">
      <c r="A411" s="21" t="s">
        <v>45</v>
      </c>
      <c r="B411" s="22">
        <v>46211.0</v>
      </c>
      <c r="C411" s="21" t="s">
        <v>99</v>
      </c>
      <c r="D411" s="46" t="str">
        <f t="array" ref="D411">XLOOKUP(E411,'flower key'!A:A,'flower key'!B:B, "-")</f>
        <v>Lobelia cardinalis</v>
      </c>
      <c r="E411" s="21" t="s">
        <v>926</v>
      </c>
      <c r="F411" s="52">
        <f>0.14*0.2</f>
        <v>0.028</v>
      </c>
      <c r="G411" s="21">
        <v>0.54</v>
      </c>
      <c r="H411" s="24"/>
      <c r="I411" s="50"/>
      <c r="J411" s="50"/>
      <c r="K411" s="24"/>
      <c r="L411" s="24"/>
      <c r="M411" s="24"/>
      <c r="N411" s="24"/>
      <c r="O411" s="24"/>
      <c r="P411" s="24"/>
      <c r="Q411" s="24"/>
      <c r="R411" s="24"/>
      <c r="S411" s="24"/>
      <c r="T411" s="24"/>
      <c r="U411" s="24"/>
      <c r="V411" s="24"/>
      <c r="W411" s="24"/>
      <c r="X411" s="24"/>
      <c r="Y411" s="24"/>
      <c r="Z411" s="24"/>
      <c r="AA411" s="24"/>
    </row>
    <row r="412">
      <c r="A412" s="24"/>
      <c r="B412" s="24"/>
      <c r="C412" s="21" t="s">
        <v>124</v>
      </c>
      <c r="D412" s="46" t="str">
        <f t="array" ref="D412">XLOOKUP(E412,'flower key'!A:A,'flower key'!B:B, "-")</f>
        <v>Salvia coccinea</v>
      </c>
      <c r="E412" s="21" t="s">
        <v>822</v>
      </c>
      <c r="F412" s="52">
        <f>0.29*0.22*3</f>
        <v>0.1914</v>
      </c>
      <c r="G412" s="21">
        <v>0.25</v>
      </c>
      <c r="H412" s="24"/>
      <c r="I412" s="50"/>
      <c r="J412" s="50"/>
      <c r="K412" s="24"/>
      <c r="L412" s="24"/>
      <c r="M412" s="24"/>
      <c r="N412" s="24"/>
      <c r="O412" s="24"/>
      <c r="P412" s="24"/>
      <c r="Q412" s="24"/>
      <c r="R412" s="24"/>
      <c r="S412" s="24"/>
      <c r="T412" s="24"/>
      <c r="U412" s="24"/>
      <c r="V412" s="24"/>
      <c r="W412" s="24"/>
      <c r="X412" s="24"/>
      <c r="Y412" s="24"/>
      <c r="Z412" s="24"/>
      <c r="AA412" s="24"/>
    </row>
    <row r="413">
      <c r="A413" s="24"/>
      <c r="B413" s="24"/>
      <c r="C413" s="21" t="s">
        <v>142</v>
      </c>
      <c r="D413" s="46" t="str">
        <f t="array" ref="D413">XLOOKUP(E413,'flower key'!A:A,'flower key'!B:B, "-")</f>
        <v>Hibiscus syriacus </v>
      </c>
      <c r="E413" s="21" t="s">
        <v>923</v>
      </c>
      <c r="F413" s="52">
        <f>0.73*1.06</f>
        <v>0.7738</v>
      </c>
      <c r="G413" s="21">
        <v>2.1</v>
      </c>
      <c r="H413" s="24"/>
      <c r="I413" s="50"/>
      <c r="J413" s="50"/>
      <c r="K413" s="24"/>
      <c r="L413" s="24"/>
      <c r="M413" s="24"/>
      <c r="N413" s="24"/>
      <c r="O413" s="24"/>
      <c r="P413" s="24"/>
      <c r="Q413" s="24"/>
      <c r="R413" s="24"/>
      <c r="S413" s="24"/>
      <c r="T413" s="24"/>
      <c r="U413" s="24"/>
      <c r="V413" s="24"/>
      <c r="W413" s="24"/>
      <c r="X413" s="24"/>
      <c r="Y413" s="24"/>
      <c r="Z413" s="24"/>
      <c r="AA413" s="24"/>
    </row>
    <row r="414">
      <c r="A414" s="24"/>
      <c r="B414" s="24"/>
      <c r="C414" s="21" t="s">
        <v>164</v>
      </c>
      <c r="D414" s="46" t="str">
        <f t="array" ref="D414">XLOOKUP(E414,'flower key'!A:A,'flower key'!B:B, "-")</f>
        <v>Begonia cucullata</v>
      </c>
      <c r="E414" s="21" t="s">
        <v>744</v>
      </c>
      <c r="F414" s="52">
        <f>0.1*0.1*8</f>
        <v>0.08</v>
      </c>
      <c r="G414" s="21">
        <v>0.1</v>
      </c>
      <c r="H414" s="24"/>
      <c r="I414" s="50"/>
      <c r="J414" s="50"/>
      <c r="K414" s="24"/>
      <c r="L414" s="24"/>
      <c r="M414" s="24"/>
      <c r="N414" s="24"/>
      <c r="O414" s="24"/>
      <c r="P414" s="24"/>
      <c r="Q414" s="24"/>
      <c r="R414" s="24"/>
      <c r="S414" s="24"/>
      <c r="T414" s="24"/>
      <c r="U414" s="24"/>
      <c r="V414" s="24"/>
      <c r="W414" s="24"/>
      <c r="X414" s="24"/>
      <c r="Y414" s="24"/>
      <c r="Z414" s="24"/>
      <c r="AA414" s="24"/>
    </row>
    <row r="415">
      <c r="A415" s="24"/>
      <c r="B415" s="24"/>
      <c r="C415" s="21" t="s">
        <v>183</v>
      </c>
      <c r="D415" s="46" t="str">
        <f t="array" ref="D415">XLOOKUP(E415,'flower key'!A:A,'flower key'!B:B, "-")</f>
        <v>Impatiens hawkeri</v>
      </c>
      <c r="E415" s="21" t="s">
        <v>708</v>
      </c>
      <c r="F415" s="52">
        <f>0.29*0.26*6</f>
        <v>0.4524</v>
      </c>
      <c r="G415" s="21">
        <v>0.16</v>
      </c>
      <c r="H415" s="24"/>
      <c r="I415" s="50"/>
      <c r="J415" s="50"/>
      <c r="K415" s="24"/>
      <c r="L415" s="24"/>
      <c r="M415" s="24"/>
      <c r="N415" s="24"/>
      <c r="O415" s="24"/>
      <c r="P415" s="24"/>
      <c r="Q415" s="24"/>
      <c r="R415" s="24"/>
      <c r="S415" s="24"/>
      <c r="T415" s="24"/>
      <c r="U415" s="24"/>
      <c r="V415" s="24"/>
      <c r="W415" s="24"/>
      <c r="X415" s="24"/>
      <c r="Y415" s="24"/>
      <c r="Z415" s="24"/>
      <c r="AA415" s="24"/>
    </row>
    <row r="416">
      <c r="A416" s="24"/>
      <c r="B416" s="24"/>
      <c r="C416" s="21" t="s">
        <v>203</v>
      </c>
      <c r="D416" s="46" t="str">
        <f t="array" ref="D416">XLOOKUP(E416,'flower key'!A:A,'flower key'!B:B, "-")</f>
        <v>Hydrangea macrophylla</v>
      </c>
      <c r="E416" s="21" t="s">
        <v>201</v>
      </c>
      <c r="F416" s="52">
        <f>1*0.89+0.76*1.43+0.97*1.01</f>
        <v>2.9565</v>
      </c>
      <c r="G416" s="21">
        <v>0.52</v>
      </c>
      <c r="H416" s="24"/>
      <c r="I416" s="50"/>
      <c r="J416" s="50"/>
      <c r="K416" s="24"/>
      <c r="L416" s="24"/>
      <c r="M416" s="24"/>
      <c r="N416" s="24"/>
      <c r="O416" s="24"/>
      <c r="P416" s="24"/>
      <c r="Q416" s="24"/>
      <c r="R416" s="24"/>
      <c r="S416" s="24"/>
      <c r="T416" s="24"/>
      <c r="U416" s="24"/>
      <c r="V416" s="24"/>
      <c r="W416" s="24"/>
      <c r="X416" s="24"/>
      <c r="Y416" s="24"/>
      <c r="Z416" s="24"/>
      <c r="AA416" s="24"/>
    </row>
    <row r="417">
      <c r="A417" s="24"/>
      <c r="B417" s="24"/>
      <c r="C417" s="21" t="s">
        <v>235</v>
      </c>
      <c r="D417" s="46" t="str">
        <f t="array" ref="D417">XLOOKUP(E417,'flower key'!A:A,'flower key'!B:B, "-")</f>
        <v>-</v>
      </c>
      <c r="E417" s="21" t="s">
        <v>927</v>
      </c>
      <c r="F417" s="49">
        <f>0.29*0.23</f>
        <v>0.0667</v>
      </c>
      <c r="G417" s="21">
        <v>0.22</v>
      </c>
      <c r="H417" s="24"/>
      <c r="I417" s="50"/>
      <c r="J417" s="50"/>
      <c r="K417" s="24"/>
      <c r="L417" s="24"/>
      <c r="M417" s="24"/>
      <c r="N417" s="24"/>
      <c r="O417" s="24"/>
      <c r="P417" s="24"/>
      <c r="Q417" s="24"/>
      <c r="R417" s="24"/>
      <c r="S417" s="24"/>
      <c r="T417" s="24"/>
      <c r="U417" s="24"/>
      <c r="V417" s="24"/>
      <c r="W417" s="24"/>
      <c r="X417" s="24"/>
      <c r="Y417" s="24"/>
      <c r="Z417" s="24"/>
      <c r="AA417" s="24"/>
    </row>
    <row r="418">
      <c r="A418" s="24"/>
      <c r="B418" s="24"/>
      <c r="C418" s="21" t="s">
        <v>238</v>
      </c>
      <c r="D418" s="46" t="str">
        <f t="array" ref="D418">XLOOKUP(E418,'flower key'!A:A,'flower key'!B:B, "-")</f>
        <v>Liatris spicata</v>
      </c>
      <c r="E418" s="21" t="s">
        <v>232</v>
      </c>
      <c r="F418" s="49">
        <f>0.18^2</f>
        <v>0.0324</v>
      </c>
      <c r="G418" s="21">
        <v>0.57</v>
      </c>
      <c r="H418" s="24"/>
      <c r="I418" s="50"/>
      <c r="J418" s="50"/>
      <c r="K418" s="24"/>
      <c r="L418" s="24"/>
      <c r="M418" s="24"/>
      <c r="N418" s="24"/>
      <c r="O418" s="24"/>
      <c r="P418" s="24"/>
      <c r="Q418" s="24"/>
      <c r="R418" s="24"/>
      <c r="S418" s="24"/>
      <c r="T418" s="24"/>
      <c r="U418" s="24"/>
      <c r="V418" s="24"/>
      <c r="W418" s="24"/>
      <c r="X418" s="24"/>
      <c r="Y418" s="24"/>
      <c r="Z418" s="24"/>
      <c r="AA418" s="24"/>
    </row>
    <row r="419">
      <c r="A419" s="24"/>
      <c r="B419" s="24"/>
      <c r="C419" s="21" t="s">
        <v>241</v>
      </c>
      <c r="D419" s="46" t="str">
        <f t="array" ref="D419">XLOOKUP(E419,'flower key'!A:A,'flower key'!B:B, "-")</f>
        <v>Achillea millefolium</v>
      </c>
      <c r="E419" s="21" t="s">
        <v>225</v>
      </c>
      <c r="F419" s="52">
        <f>0.96*0.57</f>
        <v>0.5472</v>
      </c>
      <c r="G419" s="21">
        <v>0.6</v>
      </c>
      <c r="H419" s="24"/>
      <c r="I419" s="50"/>
      <c r="J419" s="50"/>
      <c r="K419" s="24"/>
      <c r="L419" s="24"/>
      <c r="M419" s="24"/>
      <c r="N419" s="24"/>
      <c r="O419" s="24"/>
      <c r="P419" s="24"/>
      <c r="Q419" s="24"/>
      <c r="R419" s="24"/>
      <c r="S419" s="24"/>
      <c r="T419" s="24"/>
      <c r="U419" s="24"/>
      <c r="V419" s="24"/>
      <c r="W419" s="24"/>
      <c r="X419" s="24"/>
      <c r="Y419" s="24"/>
      <c r="Z419" s="24"/>
      <c r="AA419" s="24"/>
    </row>
    <row r="420">
      <c r="A420" s="24"/>
      <c r="B420" s="24"/>
      <c r="C420" s="21" t="s">
        <v>243</v>
      </c>
      <c r="D420" s="46" t="str">
        <f t="array" ref="D420">XLOOKUP(E420,'flower key'!A:A,'flower key'!B:B, "-")</f>
        <v>Hemerocallis fulva</v>
      </c>
      <c r="E420" s="21" t="s">
        <v>875</v>
      </c>
      <c r="F420" s="52">
        <f>0.97*0.54</f>
        <v>0.5238</v>
      </c>
      <c r="G420" s="21">
        <v>0.7</v>
      </c>
      <c r="H420" s="24"/>
      <c r="I420" s="50"/>
      <c r="J420" s="50"/>
      <c r="K420" s="24"/>
      <c r="L420" s="24"/>
      <c r="M420" s="24"/>
      <c r="N420" s="24"/>
      <c r="O420" s="24"/>
      <c r="P420" s="24"/>
      <c r="Q420" s="24"/>
      <c r="R420" s="24"/>
      <c r="S420" s="24"/>
      <c r="T420" s="24"/>
      <c r="U420" s="24"/>
      <c r="V420" s="24"/>
      <c r="W420" s="24"/>
      <c r="X420" s="24"/>
      <c r="Y420" s="24"/>
      <c r="Z420" s="24"/>
      <c r="AA420" s="24"/>
    </row>
    <row r="421">
      <c r="A421" s="24"/>
      <c r="B421" s="24"/>
      <c r="C421" s="21" t="s">
        <v>246</v>
      </c>
      <c r="D421" s="46" t="str">
        <f t="array" ref="D421">XLOOKUP(E421,'flower key'!A:A,'flower key'!B:B, "-")</f>
        <v>-</v>
      </c>
      <c r="E421" s="21" t="s">
        <v>928</v>
      </c>
      <c r="F421" s="52">
        <f>1.25*1.2</f>
        <v>1.5</v>
      </c>
      <c r="G421" s="21">
        <v>0.86</v>
      </c>
      <c r="H421" s="24"/>
      <c r="I421" s="50"/>
      <c r="J421" s="50"/>
      <c r="K421" s="24"/>
      <c r="L421" s="24"/>
      <c r="M421" s="24"/>
      <c r="N421" s="24"/>
      <c r="O421" s="24"/>
      <c r="P421" s="24"/>
      <c r="Q421" s="24"/>
      <c r="R421" s="24"/>
      <c r="S421" s="24"/>
      <c r="T421" s="24"/>
      <c r="U421" s="24"/>
      <c r="V421" s="24"/>
      <c r="W421" s="24"/>
      <c r="X421" s="24"/>
      <c r="Y421" s="24"/>
      <c r="Z421" s="24"/>
      <c r="AA421" s="24"/>
    </row>
    <row r="422">
      <c r="A422" s="24"/>
      <c r="B422" s="24"/>
      <c r="C422" s="21" t="s">
        <v>249</v>
      </c>
      <c r="D422" s="46" t="str">
        <f t="array" ref="D422">XLOOKUP(E422,'flower key'!A:A,'flower key'!B:B, "-")</f>
        <v>-</v>
      </c>
      <c r="E422" s="21" t="s">
        <v>929</v>
      </c>
      <c r="F422" s="52">
        <f>1.5*1.5</f>
        <v>2.25</v>
      </c>
      <c r="G422" s="21">
        <v>1.88</v>
      </c>
      <c r="H422" s="24"/>
      <c r="I422" s="50"/>
      <c r="J422" s="50"/>
      <c r="K422" s="24"/>
      <c r="L422" s="24"/>
      <c r="M422" s="24"/>
      <c r="N422" s="24"/>
      <c r="O422" s="24"/>
      <c r="P422" s="24"/>
      <c r="Q422" s="24"/>
      <c r="R422" s="24"/>
      <c r="S422" s="24"/>
      <c r="T422" s="24"/>
      <c r="U422" s="24"/>
      <c r="V422" s="24"/>
      <c r="W422" s="24"/>
      <c r="X422" s="24"/>
      <c r="Y422" s="24"/>
      <c r="Z422" s="24"/>
      <c r="AA422" s="24"/>
    </row>
    <row r="423">
      <c r="A423" s="24"/>
      <c r="B423" s="24"/>
      <c r="C423" s="21" t="s">
        <v>252</v>
      </c>
      <c r="D423" s="46" t="str">
        <f t="array" ref="D423">XLOOKUP(E423,'flower key'!A:A,'flower key'!B:B, "-")</f>
        <v>-</v>
      </c>
      <c r="E423" s="21" t="s">
        <v>896</v>
      </c>
      <c r="F423" s="52">
        <f>0.72*1.23</f>
        <v>0.8856</v>
      </c>
      <c r="G423" s="21">
        <v>1.01</v>
      </c>
      <c r="H423" s="24"/>
      <c r="I423" s="50"/>
      <c r="J423" s="50"/>
      <c r="K423" s="24"/>
      <c r="L423" s="24"/>
      <c r="M423" s="24"/>
      <c r="N423" s="24"/>
      <c r="O423" s="24"/>
      <c r="P423" s="24"/>
      <c r="Q423" s="24"/>
      <c r="R423" s="24"/>
      <c r="S423" s="24"/>
      <c r="T423" s="24"/>
      <c r="U423" s="24"/>
      <c r="V423" s="24"/>
      <c r="W423" s="24"/>
      <c r="X423" s="24"/>
      <c r="Y423" s="24"/>
      <c r="Z423" s="24"/>
      <c r="AA423" s="24"/>
    </row>
    <row r="424">
      <c r="A424" s="24"/>
      <c r="B424" s="24"/>
      <c r="C424" s="21" t="s">
        <v>255</v>
      </c>
      <c r="D424" s="46" t="str">
        <f t="array" ref="D424">XLOOKUP(E424,'flower key'!A:A,'flower key'!B:B, "-")</f>
        <v>Lysimachia clethroides</v>
      </c>
      <c r="E424" s="21" t="s">
        <v>930</v>
      </c>
      <c r="F424" s="52">
        <f>0.25*0.25</f>
        <v>0.0625</v>
      </c>
      <c r="G424" s="21">
        <v>3.0</v>
      </c>
      <c r="H424" s="24"/>
      <c r="I424" s="50"/>
      <c r="J424" s="50"/>
      <c r="K424" s="24"/>
      <c r="L424" s="24"/>
      <c r="M424" s="24"/>
      <c r="N424" s="24"/>
      <c r="O424" s="24"/>
      <c r="P424" s="24"/>
      <c r="Q424" s="24"/>
      <c r="R424" s="24"/>
      <c r="S424" s="24"/>
      <c r="T424" s="24"/>
      <c r="U424" s="24"/>
      <c r="V424" s="24"/>
      <c r="W424" s="24"/>
      <c r="X424" s="24"/>
      <c r="Y424" s="24"/>
      <c r="Z424" s="24"/>
      <c r="AA424" s="24"/>
    </row>
    <row r="425">
      <c r="A425" s="18" t="s">
        <v>14</v>
      </c>
      <c r="B425" s="19">
        <v>46211.0</v>
      </c>
      <c r="C425" s="18" t="s">
        <v>99</v>
      </c>
      <c r="D425" s="46" t="str">
        <f t="array" ref="D425">XLOOKUP(E425,'flower key'!A:A,'flower key'!B:B, "-")</f>
        <v/>
      </c>
      <c r="E425" s="18" t="s">
        <v>227</v>
      </c>
      <c r="F425" s="41">
        <f>0.5*0.35</f>
        <v>0.175</v>
      </c>
      <c r="G425" s="18">
        <v>0.95</v>
      </c>
      <c r="I425" s="47"/>
      <c r="J425" s="47"/>
    </row>
    <row r="426">
      <c r="C426" s="18" t="s">
        <v>124</v>
      </c>
      <c r="D426" s="46" t="str">
        <f t="array" ref="D426">XLOOKUP(E426,'flower key'!A:A,'flower key'!B:B, "-")</f>
        <v>Lavandula angustifolia</v>
      </c>
      <c r="E426" s="18" t="s">
        <v>417</v>
      </c>
      <c r="F426" s="41">
        <f>0.37*0.29*7</f>
        <v>0.7511</v>
      </c>
      <c r="G426" s="18">
        <v>0.71</v>
      </c>
      <c r="I426" s="47"/>
      <c r="J426" s="47"/>
    </row>
    <row r="427">
      <c r="C427" s="18" t="s">
        <v>142</v>
      </c>
      <c r="D427" s="46" t="str">
        <f t="array" ref="D427">XLOOKUP(E427,'flower key'!A:A,'flower key'!B:B, "-")</f>
        <v>Phlox paniculata</v>
      </c>
      <c r="E427" s="18" t="s">
        <v>444</v>
      </c>
      <c r="F427" s="41">
        <f>0.68*1</f>
        <v>0.68</v>
      </c>
      <c r="G427" s="18">
        <v>0.93</v>
      </c>
      <c r="I427" s="47"/>
      <c r="J427" s="47"/>
    </row>
    <row r="428">
      <c r="C428" s="18" t="s">
        <v>164</v>
      </c>
      <c r="D428" s="46" t="str">
        <f t="array" ref="D428">XLOOKUP(E428,'flower key'!A:A,'flower key'!B:B, "-")</f>
        <v>Cosmos bipinnatus</v>
      </c>
      <c r="E428" s="18" t="s">
        <v>856</v>
      </c>
      <c r="F428" s="41">
        <f>0.85*0.57*3</f>
        <v>1.4535</v>
      </c>
      <c r="G428" s="18">
        <v>1.12</v>
      </c>
      <c r="I428" s="47"/>
      <c r="J428" s="47"/>
    </row>
    <row r="429">
      <c r="C429" s="18" t="s">
        <v>183</v>
      </c>
      <c r="D429" s="46" t="str">
        <f t="array" ref="D429">XLOOKUP(E429,'flower key'!A:A,'flower key'!B:B, "-")</f>
        <v>Asclepias tuberosa</v>
      </c>
      <c r="E429" s="18" t="s">
        <v>430</v>
      </c>
      <c r="F429" s="41">
        <f>0.33*0.15</f>
        <v>0.0495</v>
      </c>
      <c r="G429" s="18">
        <v>0.36</v>
      </c>
      <c r="I429" s="47"/>
      <c r="J429" s="47"/>
    </row>
    <row r="430">
      <c r="C430" s="18" t="s">
        <v>203</v>
      </c>
      <c r="D430" s="46" t="str">
        <f t="array" ref="D430">XLOOKUP(E430,'flower key'!A:A,'flower key'!B:B, "-")</f>
        <v>Tanacetum parthenium</v>
      </c>
      <c r="E430" s="18" t="s">
        <v>773</v>
      </c>
      <c r="F430" s="41">
        <f>0.5*0.75</f>
        <v>0.375</v>
      </c>
      <c r="G430" s="18">
        <v>0.52</v>
      </c>
      <c r="I430" s="47"/>
      <c r="J430" s="47"/>
    </row>
    <row r="431">
      <c r="C431" s="18" t="s">
        <v>235</v>
      </c>
      <c r="D431" s="46" t="str">
        <f t="array" ref="D431">XLOOKUP(E431,'flower key'!A:A,'flower key'!B:B, "-")</f>
        <v>Echinacea purpurea</v>
      </c>
      <c r="E431" s="18" t="s">
        <v>247</v>
      </c>
      <c r="F431" s="41">
        <f>1*1.5</f>
        <v>1.5</v>
      </c>
      <c r="G431" s="18">
        <v>1.2</v>
      </c>
      <c r="I431" s="47"/>
      <c r="J431" s="47"/>
    </row>
    <row r="432">
      <c r="C432" s="18" t="s">
        <v>238</v>
      </c>
      <c r="D432" s="46" t="str">
        <f t="array" ref="D432">XLOOKUP(E432,'flower key'!A:A,'flower key'!B:B, "-")</f>
        <v>Commelina communis</v>
      </c>
      <c r="E432" s="18" t="s">
        <v>890</v>
      </c>
      <c r="F432" s="29" t="s">
        <v>98</v>
      </c>
      <c r="G432" s="18" t="s">
        <v>98</v>
      </c>
      <c r="I432" s="47"/>
      <c r="J432" s="47"/>
    </row>
    <row r="433">
      <c r="C433" s="18" t="s">
        <v>241</v>
      </c>
      <c r="D433" s="46" t="str">
        <f t="array" ref="D433">XLOOKUP(E433,'flower key'!A:A,'flower key'!B:B, "-")</f>
        <v>Anethum graveolens</v>
      </c>
      <c r="E433" s="18" t="s">
        <v>454</v>
      </c>
      <c r="F433" s="41">
        <f>0.7*0.7*4</f>
        <v>1.96</v>
      </c>
      <c r="G433" s="18">
        <v>1.4</v>
      </c>
      <c r="I433" s="47"/>
      <c r="J433" s="47"/>
    </row>
    <row r="434">
      <c r="C434" s="18" t="s">
        <v>243</v>
      </c>
      <c r="D434" s="46" t="str">
        <f t="array" ref="D434">XLOOKUP(E434,'flower key'!A:A,'flower key'!B:B, "-")</f>
        <v>Agastache foeniculum</v>
      </c>
      <c r="E434" s="18" t="s">
        <v>545</v>
      </c>
      <c r="F434" s="41">
        <f>0.68*0.77</f>
        <v>0.5236</v>
      </c>
      <c r="G434" s="18">
        <v>1.18</v>
      </c>
      <c r="I434" s="47"/>
      <c r="J434" s="47"/>
    </row>
    <row r="435">
      <c r="C435" s="18" t="s">
        <v>246</v>
      </c>
      <c r="D435" s="46" t="str">
        <f t="array" ref="D435">XLOOKUP(E435,'flower key'!A:A,'flower key'!B:B, "-")</f>
        <v>-</v>
      </c>
      <c r="E435" s="18" t="s">
        <v>751</v>
      </c>
      <c r="F435" s="41">
        <f>0.1*0.1</f>
        <v>0.01</v>
      </c>
      <c r="G435" s="18">
        <v>0.45</v>
      </c>
      <c r="I435" s="47"/>
      <c r="J435" s="47"/>
    </row>
    <row r="436">
      <c r="C436" s="18" t="s">
        <v>249</v>
      </c>
      <c r="D436" s="46" t="str">
        <f t="array" ref="D436">XLOOKUP(E436,'flower key'!A:A,'flower key'!B:B, "-")</f>
        <v>Petunia integrifolia</v>
      </c>
      <c r="E436" s="18" t="s">
        <v>633</v>
      </c>
      <c r="F436" s="41">
        <f>0.25*0.29*2</f>
        <v>0.145</v>
      </c>
      <c r="G436" s="18">
        <v>0.26</v>
      </c>
      <c r="I436" s="47"/>
      <c r="J436" s="47"/>
    </row>
    <row r="437">
      <c r="C437" s="18" t="s">
        <v>252</v>
      </c>
      <c r="D437" s="46" t="str">
        <f t="array" ref="D437">XLOOKUP(E437,'flower key'!A:A,'flower key'!B:B, "-")</f>
        <v>Cosmos sulphureus</v>
      </c>
      <c r="E437" s="18" t="s">
        <v>274</v>
      </c>
      <c r="F437" s="41">
        <f>0.59*0.67</f>
        <v>0.3953</v>
      </c>
      <c r="G437" s="18">
        <v>0.85</v>
      </c>
      <c r="I437" s="47"/>
      <c r="J437" s="47"/>
    </row>
    <row r="438">
      <c r="C438" s="18" t="s">
        <v>255</v>
      </c>
      <c r="D438" s="46" t="str">
        <f t="array" ref="D438">XLOOKUP(E438,'flower key'!A:A,'flower key'!B:B, "-")</f>
        <v>Tagetes lemmonii</v>
      </c>
      <c r="E438" s="18" t="s">
        <v>887</v>
      </c>
      <c r="F438" s="41">
        <f>0.25*0.3*2+0.15*0.12*3</f>
        <v>0.204</v>
      </c>
      <c r="G438" s="18">
        <v>0.77</v>
      </c>
      <c r="I438" s="47"/>
      <c r="J438" s="47"/>
    </row>
    <row r="439">
      <c r="C439" s="18" t="s">
        <v>258</v>
      </c>
      <c r="D439" s="46" t="str">
        <f t="array" ref="D439">XLOOKUP(E439,'flower key'!A:A,'flower key'!B:B, "-")</f>
        <v>Monarda citriodora</v>
      </c>
      <c r="E439" s="18" t="s">
        <v>931</v>
      </c>
      <c r="F439" s="41">
        <f>0.43*0.33+0.2*0.1</f>
        <v>0.1619</v>
      </c>
      <c r="G439" s="18">
        <v>0.63</v>
      </c>
      <c r="I439" s="47"/>
      <c r="J439" s="47"/>
    </row>
    <row r="440">
      <c r="C440" s="18" t="s">
        <v>260</v>
      </c>
      <c r="D440" s="46" t="str">
        <f t="array" ref="D440">XLOOKUP(E440,'flower key'!A:A,'flower key'!B:B, "-")</f>
        <v>Physostegia virginiana</v>
      </c>
      <c r="E440" s="18" t="s">
        <v>920</v>
      </c>
      <c r="F440" s="41">
        <f t="shared" ref="F440:F441" si="2">0.1*0.1*4</f>
        <v>0.04</v>
      </c>
      <c r="G440" s="18">
        <v>0.43</v>
      </c>
      <c r="I440" s="47"/>
      <c r="J440" s="47"/>
    </row>
    <row r="441">
      <c r="C441" s="18" t="s">
        <v>262</v>
      </c>
      <c r="D441" s="46" t="str">
        <f t="array" ref="D441">XLOOKUP(E441,'flower key'!A:A,'flower key'!B:B, "-")</f>
        <v>Verbena hastata</v>
      </c>
      <c r="E441" s="18" t="s">
        <v>857</v>
      </c>
      <c r="F441" s="41">
        <f t="shared" si="2"/>
        <v>0.04</v>
      </c>
      <c r="G441" s="18">
        <v>0.44</v>
      </c>
      <c r="I441" s="47"/>
      <c r="J441" s="47"/>
    </row>
    <row r="442">
      <c r="C442" s="18" t="s">
        <v>264</v>
      </c>
      <c r="D442" s="46" t="str">
        <f t="array" ref="D442">XLOOKUP(E442,'flower key'!A:A,'flower key'!B:B, "-")</f>
        <v>Geranium wallichianum</v>
      </c>
      <c r="E442" s="18" t="s">
        <v>932</v>
      </c>
      <c r="F442" s="41">
        <f>0.25*0.25*4</f>
        <v>0.25</v>
      </c>
      <c r="G442" s="18">
        <v>0.29</v>
      </c>
      <c r="I442" s="47"/>
      <c r="J442" s="47"/>
    </row>
    <row r="443">
      <c r="C443" s="18" t="s">
        <v>266</v>
      </c>
      <c r="D443" s="46" t="str">
        <f t="array" ref="D443">XLOOKUP(E443,'flower key'!A:A,'flower key'!B:B, "-")</f>
        <v>Saponaria officinalis</v>
      </c>
      <c r="E443" s="18" t="s">
        <v>423</v>
      </c>
      <c r="F443" s="41">
        <f>0.1*0.1</f>
        <v>0.01</v>
      </c>
      <c r="G443" s="18">
        <v>0.44</v>
      </c>
      <c r="I443" s="47"/>
      <c r="J443" s="47"/>
    </row>
    <row r="444">
      <c r="C444" s="18" t="s">
        <v>268</v>
      </c>
      <c r="D444" s="46" t="str">
        <f t="array" ref="D444">XLOOKUP(E444,'flower key'!A:A,'flower key'!B:B, "-")</f>
        <v>Campanula persicifolia</v>
      </c>
      <c r="E444" s="18" t="s">
        <v>933</v>
      </c>
      <c r="F444" s="41">
        <f>0.15*0.15</f>
        <v>0.0225</v>
      </c>
      <c r="G444" s="18">
        <v>0.7</v>
      </c>
      <c r="I444" s="47"/>
      <c r="J444" s="47"/>
    </row>
    <row r="445">
      <c r="C445" s="18" t="s">
        <v>270</v>
      </c>
      <c r="D445" s="46" t="str">
        <f t="array" ref="D445">XLOOKUP(E445,'flower key'!A:A,'flower key'!B:B, "-")</f>
        <v>Daucus carota</v>
      </c>
      <c r="E445" s="18" t="s">
        <v>354</v>
      </c>
      <c r="F445" s="41">
        <f>1.4*1.5</f>
        <v>2.1</v>
      </c>
      <c r="G445" s="18">
        <v>1.07</v>
      </c>
      <c r="I445" s="47"/>
      <c r="J445" s="47"/>
    </row>
    <row r="446">
      <c r="C446" s="18" t="s">
        <v>273</v>
      </c>
      <c r="D446" s="46" t="str">
        <f t="array" ref="D446">XLOOKUP(E446,'flower key'!A:A,'flower key'!B:B, "-")</f>
        <v>Rudbeckia hirta</v>
      </c>
      <c r="E446" s="18" t="s">
        <v>686</v>
      </c>
      <c r="F446" s="41">
        <f>0.73*0.84</f>
        <v>0.6132</v>
      </c>
      <c r="G446" s="18">
        <v>0.67</v>
      </c>
      <c r="I446" s="47"/>
      <c r="J446" s="47"/>
    </row>
    <row r="447">
      <c r="C447" s="18" t="s">
        <v>276</v>
      </c>
      <c r="D447" s="46" t="str">
        <f t="array" ref="D447">XLOOKUP(E447,'flower key'!A:A,'flower key'!B:B, "-")</f>
        <v>Coriandrum sativum</v>
      </c>
      <c r="E447" s="18" t="s">
        <v>524</v>
      </c>
      <c r="F447" s="41">
        <f>0.47*0.28</f>
        <v>0.1316</v>
      </c>
      <c r="G447" s="18">
        <v>0.82</v>
      </c>
      <c r="I447" s="47"/>
      <c r="J447" s="47"/>
    </row>
    <row r="448">
      <c r="C448" s="18" t="s">
        <v>279</v>
      </c>
      <c r="D448" s="46" t="str">
        <f t="array" ref="D448">XLOOKUP(E448,'flower key'!A:A,'flower key'!B:B, "-")</f>
        <v>Achillea millefolium</v>
      </c>
      <c r="E448" s="18" t="s">
        <v>225</v>
      </c>
      <c r="F448" s="41">
        <f>1.6*1.35</f>
        <v>2.16</v>
      </c>
      <c r="G448" s="18">
        <v>0.67</v>
      </c>
      <c r="I448" s="47"/>
      <c r="J448" s="47"/>
    </row>
    <row r="449">
      <c r="C449" s="18" t="s">
        <v>281</v>
      </c>
      <c r="D449" s="46" t="str">
        <f t="array" ref="D449">XLOOKUP(E449,'flower key'!A:A,'flower key'!B:B, "-")</f>
        <v>Cucumis sativus</v>
      </c>
      <c r="E449" s="18" t="s">
        <v>841</v>
      </c>
      <c r="F449" s="41">
        <f>1.23*2+0.65*1.43+1.18*0.44*2</f>
        <v>4.4279</v>
      </c>
      <c r="G449" s="59" t="s">
        <v>934</v>
      </c>
      <c r="H449" s="18" t="s">
        <v>935</v>
      </c>
      <c r="I449" s="47"/>
      <c r="J449" s="47"/>
    </row>
    <row r="450">
      <c r="C450" s="18" t="s">
        <v>284</v>
      </c>
      <c r="D450" s="46" t="str">
        <f t="array" ref="D450">XLOOKUP(E450,'flower key'!A:A,'flower key'!B:B, "-")</f>
        <v>Solanum lycopersicum</v>
      </c>
      <c r="E450" s="18" t="s">
        <v>256</v>
      </c>
      <c r="F450" s="41">
        <f>0.6*0.6*43</f>
        <v>15.48</v>
      </c>
      <c r="G450" s="18">
        <v>1.12</v>
      </c>
      <c r="I450" s="47"/>
      <c r="J450" s="47"/>
    </row>
    <row r="451">
      <c r="C451" s="18" t="s">
        <v>286</v>
      </c>
      <c r="D451" s="46" t="str">
        <f t="array" ref="D451">XLOOKUP(E451,'flower key'!A:A,'flower key'!B:B, "-")</f>
        <v>-</v>
      </c>
      <c r="E451" s="18" t="s">
        <v>804</v>
      </c>
      <c r="F451" s="29">
        <f>1.3*1.3</f>
        <v>1.69</v>
      </c>
      <c r="G451" s="18">
        <v>1.13</v>
      </c>
      <c r="H451" s="18" t="s">
        <v>936</v>
      </c>
      <c r="I451" s="47"/>
      <c r="J451" s="47"/>
    </row>
    <row r="452">
      <c r="A452" s="21" t="s">
        <v>18</v>
      </c>
      <c r="B452" s="22">
        <v>46212.0</v>
      </c>
      <c r="C452" s="21" t="s">
        <v>99</v>
      </c>
      <c r="D452" s="24"/>
      <c r="E452" s="21" t="s">
        <v>896</v>
      </c>
      <c r="F452" s="52">
        <f>0.6*0.45*3</f>
        <v>0.81</v>
      </c>
      <c r="G452" s="21">
        <v>1.27</v>
      </c>
      <c r="H452" s="24"/>
      <c r="I452" s="50"/>
      <c r="J452" s="50"/>
      <c r="K452" s="24"/>
      <c r="L452" s="24"/>
      <c r="M452" s="24"/>
      <c r="N452" s="24"/>
      <c r="O452" s="24"/>
      <c r="P452" s="24"/>
      <c r="Q452" s="24"/>
      <c r="R452" s="24"/>
      <c r="S452" s="24"/>
      <c r="T452" s="24"/>
      <c r="U452" s="24"/>
      <c r="V452" s="24"/>
      <c r="W452" s="24"/>
      <c r="X452" s="24"/>
      <c r="Y452" s="24"/>
      <c r="Z452" s="24"/>
      <c r="AA452" s="24"/>
    </row>
    <row r="453">
      <c r="A453" s="24"/>
      <c r="B453" s="24"/>
      <c r="C453" s="21" t="s">
        <v>124</v>
      </c>
      <c r="D453" s="24"/>
      <c r="E453" s="21" t="s">
        <v>546</v>
      </c>
      <c r="F453" s="52">
        <f>0.62*0.77</f>
        <v>0.4774</v>
      </c>
      <c r="G453" s="21">
        <v>0.6</v>
      </c>
      <c r="H453" s="24"/>
      <c r="I453" s="50"/>
      <c r="J453" s="50"/>
      <c r="K453" s="24"/>
      <c r="L453" s="24"/>
      <c r="M453" s="24"/>
      <c r="N453" s="24"/>
      <c r="O453" s="24"/>
      <c r="P453" s="24"/>
      <c r="Q453" s="24"/>
      <c r="R453" s="24"/>
      <c r="S453" s="24"/>
      <c r="T453" s="24"/>
      <c r="U453" s="24"/>
      <c r="V453" s="24"/>
      <c r="W453" s="24"/>
      <c r="X453" s="24"/>
      <c r="Y453" s="24"/>
      <c r="Z453" s="24"/>
      <c r="AA453" s="24"/>
    </row>
    <row r="454">
      <c r="A454" s="24"/>
      <c r="B454" s="24"/>
      <c r="C454" s="21" t="s">
        <v>142</v>
      </c>
      <c r="D454" s="24"/>
      <c r="E454" s="21" t="s">
        <v>256</v>
      </c>
      <c r="F454" s="52">
        <f>0.81*0.86</f>
        <v>0.6966</v>
      </c>
      <c r="G454" s="21">
        <v>1.1</v>
      </c>
      <c r="H454" s="24"/>
      <c r="I454" s="50"/>
      <c r="J454" s="50"/>
      <c r="K454" s="24"/>
      <c r="L454" s="24"/>
      <c r="M454" s="24"/>
      <c r="N454" s="24"/>
      <c r="O454" s="24"/>
      <c r="P454" s="24"/>
      <c r="Q454" s="24"/>
      <c r="R454" s="24"/>
      <c r="S454" s="24"/>
      <c r="T454" s="24"/>
      <c r="U454" s="24"/>
      <c r="V454" s="24"/>
      <c r="W454" s="24"/>
      <c r="X454" s="24"/>
      <c r="Y454" s="24"/>
      <c r="Z454" s="24"/>
      <c r="AA454" s="24"/>
    </row>
    <row r="455">
      <c r="A455" s="24"/>
      <c r="B455" s="24"/>
      <c r="C455" s="21" t="s">
        <v>164</v>
      </c>
      <c r="D455" s="24"/>
      <c r="E455" s="21" t="s">
        <v>543</v>
      </c>
      <c r="F455" s="49">
        <f>0.33*0.28</f>
        <v>0.0924</v>
      </c>
      <c r="G455" s="21">
        <v>0.34</v>
      </c>
      <c r="H455" s="24"/>
      <c r="I455" s="50"/>
      <c r="J455" s="50"/>
      <c r="K455" s="24"/>
      <c r="L455" s="24"/>
      <c r="M455" s="24"/>
      <c r="N455" s="24"/>
      <c r="O455" s="24"/>
      <c r="P455" s="24"/>
      <c r="Q455" s="24"/>
      <c r="R455" s="24"/>
      <c r="S455" s="24"/>
      <c r="T455" s="24"/>
      <c r="U455" s="24"/>
      <c r="V455" s="24"/>
      <c r="W455" s="24"/>
      <c r="X455" s="24"/>
      <c r="Y455" s="24"/>
      <c r="Z455" s="24"/>
      <c r="AA455" s="24"/>
    </row>
    <row r="456">
      <c r="A456" s="24"/>
      <c r="B456" s="24"/>
      <c r="C456" s="21" t="s">
        <v>183</v>
      </c>
      <c r="D456" s="24"/>
      <c r="E456" s="21" t="s">
        <v>294</v>
      </c>
      <c r="F456" s="52">
        <f>0.83*0.65</f>
        <v>0.5395</v>
      </c>
      <c r="G456" s="21">
        <v>0.8</v>
      </c>
      <c r="H456" s="24"/>
      <c r="I456" s="50"/>
      <c r="J456" s="50"/>
      <c r="K456" s="24"/>
      <c r="L456" s="24"/>
      <c r="M456" s="24"/>
      <c r="N456" s="24"/>
      <c r="O456" s="24"/>
      <c r="P456" s="24"/>
      <c r="Q456" s="24"/>
      <c r="R456" s="24"/>
      <c r="S456" s="24"/>
      <c r="T456" s="24"/>
      <c r="U456" s="24"/>
      <c r="V456" s="24"/>
      <c r="W456" s="24"/>
      <c r="X456" s="24"/>
      <c r="Y456" s="24"/>
      <c r="Z456" s="24"/>
      <c r="AA456" s="24"/>
    </row>
    <row r="457">
      <c r="A457" s="24"/>
      <c r="B457" s="24"/>
      <c r="C457" s="21" t="s">
        <v>203</v>
      </c>
      <c r="D457" s="24"/>
      <c r="E457" s="21" t="s">
        <v>937</v>
      </c>
      <c r="F457" s="52">
        <f>0.79*0.43</f>
        <v>0.3397</v>
      </c>
      <c r="G457" s="21">
        <v>1.0</v>
      </c>
      <c r="H457" s="24"/>
      <c r="I457" s="50"/>
      <c r="J457" s="50"/>
      <c r="K457" s="24"/>
      <c r="L457" s="24"/>
      <c r="M457" s="24"/>
      <c r="N457" s="24"/>
      <c r="O457" s="24"/>
      <c r="P457" s="24"/>
      <c r="Q457" s="24"/>
      <c r="R457" s="24"/>
      <c r="S457" s="24"/>
      <c r="T457" s="24"/>
      <c r="U457" s="24"/>
      <c r="V457" s="24"/>
      <c r="W457" s="24"/>
      <c r="X457" s="24"/>
      <c r="Y457" s="24"/>
      <c r="Z457" s="24"/>
      <c r="AA457" s="24"/>
    </row>
    <row r="458">
      <c r="A458" s="24"/>
      <c r="B458" s="24"/>
      <c r="C458" s="21" t="s">
        <v>235</v>
      </c>
      <c r="D458" s="24"/>
      <c r="E458" s="21" t="s">
        <v>461</v>
      </c>
      <c r="F458" s="52">
        <f>0.59*0.71+0.98*1.28</f>
        <v>1.6733</v>
      </c>
      <c r="G458" s="21">
        <v>1.55</v>
      </c>
      <c r="H458" s="24"/>
      <c r="I458" s="50"/>
      <c r="J458" s="50"/>
      <c r="K458" s="24"/>
      <c r="L458" s="24"/>
      <c r="M458" s="24"/>
      <c r="N458" s="24"/>
      <c r="O458" s="24"/>
      <c r="P458" s="24"/>
      <c r="Q458" s="24"/>
      <c r="R458" s="24"/>
      <c r="S458" s="24"/>
      <c r="T458" s="24"/>
      <c r="U458" s="24"/>
      <c r="V458" s="24"/>
      <c r="W458" s="24"/>
      <c r="X458" s="24"/>
      <c r="Y458" s="24"/>
      <c r="Z458" s="24"/>
      <c r="AA458" s="24"/>
    </row>
    <row r="459">
      <c r="A459" s="24"/>
      <c r="B459" s="24"/>
      <c r="C459" s="21" t="s">
        <v>238</v>
      </c>
      <c r="D459" s="24"/>
      <c r="E459" s="21" t="s">
        <v>938</v>
      </c>
      <c r="F459" s="52">
        <f>0.57*0.33</f>
        <v>0.1881</v>
      </c>
      <c r="G459" s="21">
        <v>0.54</v>
      </c>
      <c r="H459" s="24"/>
      <c r="I459" s="50"/>
      <c r="J459" s="50"/>
      <c r="K459" s="24"/>
      <c r="L459" s="24"/>
      <c r="M459" s="24"/>
      <c r="N459" s="24"/>
      <c r="O459" s="24"/>
      <c r="P459" s="24"/>
      <c r="Q459" s="24"/>
      <c r="R459" s="24"/>
      <c r="S459" s="24"/>
      <c r="T459" s="24"/>
      <c r="U459" s="24"/>
      <c r="V459" s="24"/>
      <c r="W459" s="24"/>
      <c r="X459" s="24"/>
      <c r="Y459" s="24"/>
      <c r="Z459" s="24"/>
      <c r="AA459" s="24"/>
    </row>
    <row r="460">
      <c r="A460" s="24"/>
      <c r="B460" s="24"/>
      <c r="C460" s="21" t="s">
        <v>241</v>
      </c>
      <c r="D460" s="24"/>
      <c r="E460" s="21" t="s">
        <v>227</v>
      </c>
      <c r="F460" s="52">
        <f>0.37*0.19+0.5*0.65*3</f>
        <v>1.0453</v>
      </c>
      <c r="G460" s="21">
        <v>1.01</v>
      </c>
      <c r="H460" s="24"/>
      <c r="I460" s="50"/>
      <c r="J460" s="50"/>
      <c r="K460" s="24"/>
      <c r="L460" s="24"/>
      <c r="M460" s="24"/>
      <c r="N460" s="24"/>
      <c r="O460" s="24"/>
      <c r="P460" s="24"/>
      <c r="Q460" s="24"/>
      <c r="R460" s="24"/>
      <c r="S460" s="24"/>
      <c r="T460" s="24"/>
      <c r="U460" s="24"/>
      <c r="V460" s="24"/>
      <c r="W460" s="24"/>
      <c r="X460" s="24"/>
      <c r="Y460" s="24"/>
      <c r="Z460" s="24"/>
      <c r="AA460" s="24"/>
    </row>
    <row r="461">
      <c r="A461" s="24"/>
      <c r="B461" s="24"/>
      <c r="C461" s="21" t="s">
        <v>243</v>
      </c>
      <c r="D461" s="24"/>
      <c r="E461" s="21" t="s">
        <v>307</v>
      </c>
      <c r="F461" s="52">
        <f>0.9*1.65*2+1*0.25+1.36*0.6</f>
        <v>4.036</v>
      </c>
      <c r="G461" s="21">
        <v>0.84</v>
      </c>
      <c r="H461" s="24"/>
      <c r="I461" s="50"/>
      <c r="J461" s="50"/>
      <c r="K461" s="24"/>
      <c r="L461" s="24"/>
      <c r="M461" s="24"/>
      <c r="N461" s="24"/>
      <c r="O461" s="24"/>
      <c r="P461" s="24"/>
      <c r="Q461" s="24"/>
      <c r="R461" s="24"/>
      <c r="S461" s="24"/>
      <c r="T461" s="24"/>
      <c r="U461" s="24"/>
      <c r="V461" s="24"/>
      <c r="W461" s="24"/>
      <c r="X461" s="24"/>
      <c r="Y461" s="24"/>
      <c r="Z461" s="24"/>
      <c r="AA461" s="24"/>
    </row>
    <row r="462">
      <c r="A462" s="24"/>
      <c r="B462" s="24"/>
      <c r="C462" s="21" t="s">
        <v>246</v>
      </c>
      <c r="D462" s="24"/>
      <c r="E462" s="21" t="s">
        <v>469</v>
      </c>
      <c r="F462" s="52">
        <f>1.5*0.71*2</f>
        <v>2.13</v>
      </c>
      <c r="G462" s="21">
        <v>0.56</v>
      </c>
      <c r="H462" s="24"/>
      <c r="I462" s="50"/>
      <c r="J462" s="50"/>
      <c r="K462" s="24"/>
      <c r="L462" s="24"/>
      <c r="M462" s="24"/>
      <c r="N462" s="24"/>
      <c r="O462" s="24"/>
      <c r="P462" s="24"/>
      <c r="Q462" s="24"/>
      <c r="R462" s="24"/>
      <c r="S462" s="24"/>
      <c r="T462" s="24"/>
      <c r="U462" s="24"/>
      <c r="V462" s="24"/>
      <c r="W462" s="24"/>
      <c r="X462" s="24"/>
      <c r="Y462" s="24"/>
      <c r="Z462" s="24"/>
      <c r="AA462" s="24"/>
    </row>
    <row r="463">
      <c r="A463" s="24"/>
      <c r="B463" s="24"/>
      <c r="C463" s="21" t="s">
        <v>249</v>
      </c>
      <c r="D463" s="24"/>
      <c r="E463" s="21" t="s">
        <v>464</v>
      </c>
      <c r="F463" s="52">
        <f>0.6*0.6</f>
        <v>0.36</v>
      </c>
      <c r="G463" s="21">
        <v>1.7</v>
      </c>
      <c r="H463" s="24"/>
      <c r="I463" s="50"/>
      <c r="J463" s="50"/>
      <c r="K463" s="24"/>
      <c r="L463" s="24"/>
      <c r="M463" s="24"/>
      <c r="N463" s="24"/>
      <c r="O463" s="24"/>
      <c r="P463" s="24"/>
      <c r="Q463" s="24"/>
      <c r="R463" s="24"/>
      <c r="S463" s="24"/>
      <c r="T463" s="24"/>
      <c r="U463" s="24"/>
      <c r="V463" s="24"/>
      <c r="W463" s="24"/>
      <c r="X463" s="24"/>
      <c r="Y463" s="24"/>
      <c r="Z463" s="24"/>
      <c r="AA463" s="24"/>
    </row>
    <row r="464">
      <c r="A464" s="24"/>
      <c r="B464" s="24"/>
      <c r="C464" s="21" t="s">
        <v>252</v>
      </c>
      <c r="D464" s="24"/>
      <c r="E464" s="21" t="s">
        <v>454</v>
      </c>
      <c r="F464" s="52">
        <f>0.73*0.42+1.25*1.09</f>
        <v>1.6691</v>
      </c>
      <c r="G464" s="21">
        <v>1.08</v>
      </c>
      <c r="H464" s="24"/>
      <c r="I464" s="50"/>
      <c r="J464" s="50"/>
      <c r="K464" s="24"/>
      <c r="L464" s="24"/>
      <c r="M464" s="24"/>
      <c r="N464" s="24"/>
      <c r="O464" s="24"/>
      <c r="P464" s="24"/>
      <c r="Q464" s="24"/>
      <c r="R464" s="24"/>
      <c r="S464" s="24"/>
      <c r="T464" s="24"/>
      <c r="U464" s="24"/>
      <c r="V464" s="24"/>
      <c r="W464" s="24"/>
      <c r="X464" s="24"/>
      <c r="Y464" s="24"/>
      <c r="Z464" s="24"/>
      <c r="AA464" s="24"/>
    </row>
    <row r="465">
      <c r="A465" s="24"/>
      <c r="B465" s="24"/>
      <c r="C465" s="21" t="s">
        <v>255</v>
      </c>
      <c r="D465" s="24"/>
      <c r="E465" s="21" t="s">
        <v>414</v>
      </c>
      <c r="F465" s="52">
        <f>0.7*0.72</f>
        <v>0.504</v>
      </c>
      <c r="G465" s="21">
        <v>0.66</v>
      </c>
      <c r="H465" s="24"/>
      <c r="I465" s="50"/>
      <c r="J465" s="50"/>
      <c r="K465" s="24"/>
      <c r="L465" s="24"/>
      <c r="M465" s="24"/>
      <c r="N465" s="24"/>
      <c r="O465" s="24"/>
      <c r="P465" s="24"/>
      <c r="Q465" s="24"/>
      <c r="R465" s="24"/>
      <c r="S465" s="24"/>
      <c r="T465" s="24"/>
      <c r="U465" s="24"/>
      <c r="V465" s="24"/>
      <c r="W465" s="24"/>
      <c r="X465" s="24"/>
      <c r="Y465" s="24"/>
      <c r="Z465" s="24"/>
      <c r="AA465" s="24"/>
    </row>
    <row r="466">
      <c r="A466" s="24"/>
      <c r="B466" s="24"/>
      <c r="C466" s="21" t="s">
        <v>258</v>
      </c>
      <c r="D466" s="24"/>
      <c r="E466" s="21" t="s">
        <v>890</v>
      </c>
      <c r="F466" s="49" t="s">
        <v>98</v>
      </c>
      <c r="G466" s="21" t="s">
        <v>98</v>
      </c>
      <c r="H466" s="24"/>
      <c r="I466" s="50"/>
      <c r="J466" s="50"/>
      <c r="K466" s="24"/>
      <c r="L466" s="24"/>
      <c r="M466" s="24"/>
      <c r="N466" s="24"/>
      <c r="O466" s="24"/>
      <c r="P466" s="24"/>
      <c r="Q466" s="24"/>
      <c r="R466" s="24"/>
      <c r="S466" s="24"/>
      <c r="T466" s="24"/>
      <c r="U466" s="24"/>
      <c r="V466" s="24"/>
      <c r="W466" s="24"/>
      <c r="X466" s="24"/>
      <c r="Y466" s="24"/>
      <c r="Z466" s="24"/>
      <c r="AA466" s="24"/>
    </row>
    <row r="467">
      <c r="A467" s="24"/>
      <c r="B467" s="24"/>
      <c r="C467" s="21" t="s">
        <v>260</v>
      </c>
      <c r="D467" s="24"/>
      <c r="E467" s="21" t="s">
        <v>922</v>
      </c>
      <c r="F467" s="49" t="s">
        <v>98</v>
      </c>
      <c r="G467" s="21" t="s">
        <v>98</v>
      </c>
      <c r="H467" s="24"/>
      <c r="I467" s="50"/>
      <c r="J467" s="50"/>
      <c r="K467" s="24"/>
      <c r="L467" s="24"/>
      <c r="M467" s="24"/>
      <c r="N467" s="24"/>
      <c r="O467" s="24"/>
      <c r="P467" s="24"/>
      <c r="Q467" s="24"/>
      <c r="R467" s="24"/>
      <c r="S467" s="24"/>
      <c r="T467" s="24"/>
      <c r="U467" s="24"/>
      <c r="V467" s="24"/>
      <c r="W467" s="24"/>
      <c r="X467" s="24"/>
      <c r="Y467" s="24"/>
      <c r="Z467" s="24"/>
      <c r="AA467" s="24"/>
    </row>
    <row r="468">
      <c r="A468" s="24"/>
      <c r="B468" s="24"/>
      <c r="C468" s="21" t="s">
        <v>262</v>
      </c>
      <c r="D468" s="24"/>
      <c r="E468" s="21" t="s">
        <v>770</v>
      </c>
      <c r="F468" s="52">
        <f>0.55*0.57</f>
        <v>0.3135</v>
      </c>
      <c r="G468" s="21">
        <v>0.37</v>
      </c>
      <c r="H468" s="24"/>
      <c r="I468" s="50"/>
      <c r="J468" s="50"/>
      <c r="K468" s="24"/>
      <c r="L468" s="24"/>
      <c r="M468" s="24"/>
      <c r="N468" s="24"/>
      <c r="O468" s="24"/>
      <c r="P468" s="24"/>
      <c r="Q468" s="24"/>
      <c r="R468" s="24"/>
      <c r="S468" s="24"/>
      <c r="T468" s="24"/>
      <c r="U468" s="24"/>
      <c r="V468" s="24"/>
      <c r="W468" s="24"/>
      <c r="X468" s="24"/>
      <c r="Y468" s="24"/>
      <c r="Z468" s="24"/>
      <c r="AA468" s="24"/>
    </row>
    <row r="469">
      <c r="A469" s="24"/>
      <c r="B469" s="24"/>
      <c r="C469" s="21" t="s">
        <v>264</v>
      </c>
      <c r="D469" s="24"/>
      <c r="E469" s="21" t="s">
        <v>804</v>
      </c>
      <c r="F469" s="52">
        <f>2*2</f>
        <v>4</v>
      </c>
      <c r="G469" s="21">
        <v>1.2</v>
      </c>
      <c r="H469" s="24"/>
      <c r="I469" s="50"/>
      <c r="J469" s="50"/>
      <c r="K469" s="24"/>
      <c r="L469" s="24"/>
      <c r="M469" s="24"/>
      <c r="N469" s="24"/>
      <c r="O469" s="24"/>
      <c r="P469" s="24"/>
      <c r="Q469" s="24"/>
      <c r="R469" s="24"/>
      <c r="S469" s="24"/>
      <c r="T469" s="24"/>
      <c r="U469" s="24"/>
      <c r="V469" s="24"/>
      <c r="W469" s="24"/>
      <c r="X469" s="24"/>
      <c r="Y469" s="24"/>
      <c r="Z469" s="24"/>
      <c r="AA469" s="24"/>
    </row>
    <row r="470">
      <c r="A470" s="24"/>
      <c r="B470" s="24"/>
      <c r="C470" s="21" t="s">
        <v>266</v>
      </c>
      <c r="D470" s="24"/>
      <c r="E470" s="21" t="s">
        <v>939</v>
      </c>
      <c r="F470" s="52">
        <f>1.2*0.88*2</f>
        <v>2.112</v>
      </c>
      <c r="G470" s="21">
        <v>1.7</v>
      </c>
      <c r="H470" s="24"/>
      <c r="I470" s="50"/>
      <c r="J470" s="50"/>
      <c r="K470" s="24"/>
      <c r="L470" s="24"/>
      <c r="M470" s="24"/>
      <c r="N470" s="24"/>
      <c r="O470" s="24"/>
      <c r="P470" s="24"/>
      <c r="Q470" s="24"/>
      <c r="R470" s="24"/>
      <c r="S470" s="24"/>
      <c r="T470" s="24"/>
      <c r="U470" s="24"/>
      <c r="V470" s="24"/>
      <c r="W470" s="24"/>
      <c r="X470" s="24"/>
      <c r="Y470" s="24"/>
      <c r="Z470" s="24"/>
      <c r="AA470" s="24"/>
    </row>
    <row r="471">
      <c r="A471" s="24"/>
      <c r="B471" s="24"/>
      <c r="C471" s="21" t="s">
        <v>268</v>
      </c>
      <c r="D471" s="24"/>
      <c r="E471" s="21" t="s">
        <v>247</v>
      </c>
      <c r="F471" s="52">
        <f>0.68*1.15</f>
        <v>0.782</v>
      </c>
      <c r="G471" s="21">
        <v>1.1</v>
      </c>
      <c r="H471" s="24"/>
      <c r="I471" s="50"/>
      <c r="J471" s="50"/>
      <c r="K471" s="24"/>
      <c r="L471" s="24"/>
      <c r="M471" s="24"/>
      <c r="N471" s="24"/>
      <c r="O471" s="24"/>
      <c r="P471" s="24"/>
      <c r="Q471" s="24"/>
      <c r="R471" s="24"/>
      <c r="S471" s="24"/>
      <c r="T471" s="24"/>
      <c r="U471" s="24"/>
      <c r="V471" s="24"/>
      <c r="W471" s="24"/>
      <c r="X471" s="24"/>
      <c r="Y471" s="24"/>
      <c r="Z471" s="24"/>
      <c r="AA471" s="24"/>
    </row>
    <row r="472">
      <c r="A472" s="24"/>
      <c r="B472" s="24"/>
      <c r="C472" s="21" t="s">
        <v>270</v>
      </c>
      <c r="D472" s="24"/>
      <c r="E472" s="21" t="s">
        <v>469</v>
      </c>
      <c r="F472" s="52">
        <f>3*1.3</f>
        <v>3.9</v>
      </c>
      <c r="G472" s="21">
        <v>1.2</v>
      </c>
      <c r="H472" s="24"/>
      <c r="I472" s="50"/>
      <c r="J472" s="50"/>
      <c r="K472" s="24"/>
      <c r="L472" s="24"/>
      <c r="M472" s="24"/>
      <c r="N472" s="24"/>
      <c r="O472" s="24"/>
      <c r="P472" s="24"/>
      <c r="Q472" s="24"/>
      <c r="R472" s="24"/>
      <c r="S472" s="24"/>
      <c r="T472" s="24"/>
      <c r="U472" s="24"/>
      <c r="V472" s="24"/>
      <c r="W472" s="24"/>
      <c r="X472" s="24"/>
      <c r="Y472" s="24"/>
      <c r="Z472" s="24"/>
      <c r="AA472" s="24"/>
    </row>
    <row r="473">
      <c r="A473" s="24"/>
      <c r="B473" s="24"/>
      <c r="C473" s="21" t="s">
        <v>273</v>
      </c>
      <c r="D473" s="24"/>
      <c r="E473" s="21" t="s">
        <v>940</v>
      </c>
      <c r="F473" s="52">
        <f>1*1.5</f>
        <v>1.5</v>
      </c>
      <c r="G473" s="21">
        <v>1.5</v>
      </c>
      <c r="H473" s="24"/>
      <c r="I473" s="50"/>
      <c r="J473" s="50"/>
      <c r="K473" s="24"/>
      <c r="L473" s="24"/>
      <c r="M473" s="24"/>
      <c r="N473" s="24"/>
      <c r="O473" s="24"/>
      <c r="P473" s="24"/>
      <c r="Q473" s="24"/>
      <c r="R473" s="24"/>
      <c r="S473" s="24"/>
      <c r="T473" s="24"/>
      <c r="U473" s="24"/>
      <c r="V473" s="24"/>
      <c r="W473" s="24"/>
      <c r="X473" s="24"/>
      <c r="Y473" s="24"/>
      <c r="Z473" s="24"/>
      <c r="AA473" s="24"/>
    </row>
    <row r="474">
      <c r="A474" s="24"/>
      <c r="B474" s="24"/>
      <c r="C474" s="21" t="s">
        <v>276</v>
      </c>
      <c r="D474" s="24"/>
      <c r="E474" s="21" t="s">
        <v>941</v>
      </c>
      <c r="F474" s="52">
        <f>1.5*1.5</f>
        <v>2.25</v>
      </c>
      <c r="G474" s="21">
        <v>1.0</v>
      </c>
      <c r="H474" s="24"/>
      <c r="I474" s="50"/>
      <c r="J474" s="50"/>
      <c r="K474" s="24"/>
      <c r="L474" s="24"/>
      <c r="M474" s="24"/>
      <c r="N474" s="24"/>
      <c r="O474" s="24"/>
      <c r="P474" s="24"/>
      <c r="Q474" s="24"/>
      <c r="R474" s="24"/>
      <c r="S474" s="24"/>
      <c r="T474" s="24"/>
      <c r="U474" s="24"/>
      <c r="V474" s="24"/>
      <c r="W474" s="24"/>
      <c r="X474" s="24"/>
      <c r="Y474" s="24"/>
      <c r="Z474" s="24"/>
      <c r="AA474" s="24"/>
    </row>
    <row r="475">
      <c r="A475" s="24"/>
      <c r="B475" s="24"/>
      <c r="C475" s="21" t="s">
        <v>279</v>
      </c>
      <c r="D475" s="24"/>
      <c r="E475" s="21" t="s">
        <v>686</v>
      </c>
      <c r="F475" s="52">
        <f>1.09*0.86*3</f>
        <v>2.8122</v>
      </c>
      <c r="G475" s="21">
        <v>0.81</v>
      </c>
      <c r="H475" s="24"/>
      <c r="I475" s="50"/>
      <c r="J475" s="50"/>
      <c r="K475" s="24"/>
      <c r="L475" s="24"/>
      <c r="M475" s="24"/>
      <c r="N475" s="24"/>
      <c r="O475" s="24"/>
      <c r="P475" s="24"/>
      <c r="Q475" s="24"/>
      <c r="R475" s="24"/>
      <c r="S475" s="24"/>
      <c r="T475" s="24"/>
      <c r="U475" s="24"/>
      <c r="V475" s="24"/>
      <c r="W475" s="24"/>
      <c r="X475" s="24"/>
      <c r="Y475" s="24"/>
      <c r="Z475" s="24"/>
      <c r="AA475" s="24"/>
    </row>
    <row r="476">
      <c r="A476" s="18" t="s">
        <v>28</v>
      </c>
      <c r="B476" s="19">
        <v>46213.0</v>
      </c>
      <c r="C476" s="18" t="s">
        <v>99</v>
      </c>
      <c r="E476" s="18" t="s">
        <v>922</v>
      </c>
      <c r="F476" s="41">
        <f>0.7*0.25*2</f>
        <v>0.35</v>
      </c>
      <c r="G476" s="18">
        <v>0.3</v>
      </c>
      <c r="I476" s="47"/>
      <c r="J476" s="47"/>
    </row>
    <row r="477">
      <c r="C477" s="18" t="s">
        <v>124</v>
      </c>
      <c r="E477" s="18" t="s">
        <v>890</v>
      </c>
      <c r="F477" s="41">
        <f>0.9*0.8</f>
        <v>0.72</v>
      </c>
      <c r="G477" s="18">
        <v>0.42</v>
      </c>
      <c r="I477" s="47"/>
      <c r="J477" s="47"/>
    </row>
    <row r="478">
      <c r="C478" s="18" t="s">
        <v>142</v>
      </c>
      <c r="E478" s="18" t="s">
        <v>414</v>
      </c>
      <c r="F478" s="29" t="s">
        <v>98</v>
      </c>
      <c r="G478" s="18" t="s">
        <v>98</v>
      </c>
      <c r="I478" s="47"/>
      <c r="J478" s="47"/>
    </row>
    <row r="479">
      <c r="C479" s="18" t="s">
        <v>164</v>
      </c>
      <c r="E479" s="18" t="s">
        <v>307</v>
      </c>
      <c r="F479" s="41">
        <f>0.53*0.73</f>
        <v>0.3869</v>
      </c>
      <c r="G479" s="18">
        <v>0.65</v>
      </c>
      <c r="I479" s="47"/>
      <c r="J479" s="47"/>
    </row>
    <row r="480">
      <c r="C480" s="18" t="s">
        <v>183</v>
      </c>
      <c r="E480" s="18" t="s">
        <v>942</v>
      </c>
      <c r="F480" s="41">
        <f>0.2*0.26</f>
        <v>0.052</v>
      </c>
      <c r="G480" s="18">
        <v>0.26</v>
      </c>
      <c r="I480" s="47"/>
      <c r="J480" s="47"/>
    </row>
    <row r="481">
      <c r="C481" s="18" t="s">
        <v>203</v>
      </c>
      <c r="E481" s="18" t="s">
        <v>887</v>
      </c>
      <c r="F481" s="41">
        <f>0.25*0.25*4</f>
        <v>0.25</v>
      </c>
      <c r="G481" s="18">
        <v>0.36</v>
      </c>
      <c r="I481" s="47"/>
      <c r="J481" s="47"/>
    </row>
    <row r="482">
      <c r="C482" s="18" t="s">
        <v>235</v>
      </c>
      <c r="E482" s="18" t="s">
        <v>744</v>
      </c>
      <c r="F482" s="41">
        <f>0.15*0.15</f>
        <v>0.0225</v>
      </c>
      <c r="G482" s="18">
        <v>0.14</v>
      </c>
      <c r="I482" s="47"/>
      <c r="J482" s="47"/>
    </row>
    <row r="483">
      <c r="C483" s="18" t="s">
        <v>238</v>
      </c>
      <c r="E483" s="18" t="s">
        <v>915</v>
      </c>
      <c r="F483" s="41">
        <f>0.25*0.27</f>
        <v>0.0675</v>
      </c>
      <c r="G483" s="18">
        <v>0.2</v>
      </c>
      <c r="I483" s="47"/>
      <c r="J483" s="47"/>
    </row>
    <row r="484">
      <c r="C484" s="18" t="s">
        <v>241</v>
      </c>
      <c r="E484" s="18" t="s">
        <v>543</v>
      </c>
      <c r="F484" s="41">
        <f>0.18*0.26+0.84*0.56+0.78*0.96+1.3*1.3</f>
        <v>2.956</v>
      </c>
      <c r="G484" s="18">
        <v>1.6</v>
      </c>
      <c r="I484" s="47"/>
      <c r="J484" s="47"/>
    </row>
    <row r="485">
      <c r="C485" s="18" t="s">
        <v>243</v>
      </c>
      <c r="E485" s="18" t="s">
        <v>875</v>
      </c>
      <c r="F485" s="41">
        <f>0.5*0.5*2+0.36*0.26</f>
        <v>0.5936</v>
      </c>
      <c r="G485" s="18">
        <v>1.26</v>
      </c>
      <c r="I485" s="47"/>
      <c r="J485" s="47"/>
    </row>
    <row r="486">
      <c r="C486" s="18" t="s">
        <v>246</v>
      </c>
      <c r="E486" s="18" t="s">
        <v>484</v>
      </c>
      <c r="F486" s="41">
        <f>1.7*0.75</f>
        <v>1.275</v>
      </c>
      <c r="G486" s="18">
        <v>1.25</v>
      </c>
      <c r="I486" s="47"/>
      <c r="J486" s="47"/>
    </row>
    <row r="487">
      <c r="C487" s="18" t="s">
        <v>249</v>
      </c>
      <c r="E487" s="18" t="s">
        <v>232</v>
      </c>
      <c r="F487" s="41">
        <f>0.14*0.14*5</f>
        <v>0.098</v>
      </c>
      <c r="G487" s="18">
        <v>1.09</v>
      </c>
      <c r="I487" s="47"/>
      <c r="J487" s="47"/>
    </row>
    <row r="488">
      <c r="C488" s="18" t="s">
        <v>252</v>
      </c>
      <c r="E488" s="18" t="s">
        <v>201</v>
      </c>
      <c r="F488" s="41">
        <f>1.25*1.12*4</f>
        <v>5.6</v>
      </c>
      <c r="G488" s="18">
        <v>0.94</v>
      </c>
      <c r="I488" s="47"/>
      <c r="J488" s="47"/>
    </row>
    <row r="489">
      <c r="C489" s="18" t="s">
        <v>255</v>
      </c>
      <c r="E489" s="18" t="s">
        <v>923</v>
      </c>
      <c r="F489" s="41">
        <f>1.36*1.53+1.12*0.96</f>
        <v>3.156</v>
      </c>
      <c r="G489" s="18">
        <v>2.3</v>
      </c>
      <c r="I489" s="47"/>
      <c r="J489" s="47"/>
    </row>
    <row r="490">
      <c r="C490" s="18" t="s">
        <v>258</v>
      </c>
      <c r="E490" s="18" t="s">
        <v>493</v>
      </c>
      <c r="F490" s="41">
        <f>0.75*1.2</f>
        <v>0.9</v>
      </c>
      <c r="G490" s="18">
        <v>2.3</v>
      </c>
      <c r="I490" s="47"/>
      <c r="J490" s="47"/>
    </row>
    <row r="491">
      <c r="C491" s="18" t="s">
        <v>260</v>
      </c>
      <c r="E491" s="18" t="s">
        <v>943</v>
      </c>
      <c r="F491" s="41">
        <f>0.32*0.32</f>
        <v>0.1024</v>
      </c>
      <c r="G491" s="18">
        <v>0.36</v>
      </c>
      <c r="I491" s="47"/>
      <c r="J491" s="47"/>
    </row>
    <row r="492">
      <c r="C492" s="18" t="s">
        <v>262</v>
      </c>
      <c r="E492" s="18" t="s">
        <v>633</v>
      </c>
      <c r="F492" s="41">
        <f>0.28*0.2*2</f>
        <v>0.112</v>
      </c>
      <c r="G492" s="18">
        <v>0.15</v>
      </c>
      <c r="I492" s="47"/>
      <c r="J492" s="47"/>
    </row>
    <row r="493">
      <c r="C493" s="18" t="s">
        <v>264</v>
      </c>
      <c r="E493" s="18" t="s">
        <v>944</v>
      </c>
      <c r="F493" s="41">
        <f>0.29*0.23</f>
        <v>0.0667</v>
      </c>
      <c r="G493" s="18">
        <v>0.4</v>
      </c>
      <c r="I493" s="47"/>
      <c r="J493" s="47"/>
    </row>
    <row r="494">
      <c r="C494" s="18" t="s">
        <v>266</v>
      </c>
      <c r="E494" s="18" t="s">
        <v>880</v>
      </c>
      <c r="F494" s="41">
        <f>0.2*0.15</f>
        <v>0.03</v>
      </c>
      <c r="G494" s="18">
        <v>1.4</v>
      </c>
      <c r="I494" s="47"/>
      <c r="J494" s="47"/>
    </row>
    <row r="495">
      <c r="C495" s="18" t="s">
        <v>268</v>
      </c>
      <c r="E495" s="18" t="s">
        <v>256</v>
      </c>
      <c r="F495" s="41">
        <v>15.0</v>
      </c>
      <c r="I495" s="47"/>
      <c r="J495" s="47"/>
    </row>
    <row r="496">
      <c r="C496" s="18" t="s">
        <v>270</v>
      </c>
      <c r="E496" s="18" t="s">
        <v>312</v>
      </c>
      <c r="F496" s="41">
        <v>25.1875</v>
      </c>
      <c r="I496" s="47"/>
      <c r="J496" s="47"/>
    </row>
    <row r="497">
      <c r="C497" s="18" t="s">
        <v>273</v>
      </c>
      <c r="E497" s="18" t="s">
        <v>841</v>
      </c>
      <c r="F497" s="41">
        <v>5.625</v>
      </c>
      <c r="I497" s="47"/>
      <c r="J497" s="47"/>
    </row>
    <row r="498">
      <c r="C498" s="18" t="s">
        <v>276</v>
      </c>
      <c r="E498" s="18" t="s">
        <v>208</v>
      </c>
      <c r="F498" s="41">
        <f>0.15*0.15</f>
        <v>0.0225</v>
      </c>
      <c r="G498" s="18">
        <v>1.4</v>
      </c>
      <c r="I498" s="47"/>
      <c r="J498" s="47"/>
    </row>
    <row r="499">
      <c r="C499" s="18" t="s">
        <v>279</v>
      </c>
      <c r="E499" s="18" t="s">
        <v>498</v>
      </c>
      <c r="F499" s="41">
        <v>0.625</v>
      </c>
      <c r="I499" s="47"/>
      <c r="J499" s="47"/>
    </row>
    <row r="500">
      <c r="F500" s="41"/>
      <c r="I500" s="47"/>
      <c r="J500" s="47"/>
    </row>
    <row r="501">
      <c r="F501" s="41"/>
      <c r="I501" s="47"/>
      <c r="J501" s="47"/>
    </row>
    <row r="502">
      <c r="F502" s="41"/>
      <c r="I502" s="47"/>
      <c r="J502" s="47"/>
    </row>
    <row r="503">
      <c r="F503" s="29"/>
      <c r="I503" s="47"/>
      <c r="J503" s="47"/>
    </row>
    <row r="504">
      <c r="F504" s="41"/>
      <c r="I504" s="47"/>
      <c r="J504" s="47"/>
    </row>
    <row r="505">
      <c r="F505" s="29"/>
      <c r="I505" s="47"/>
      <c r="J505" s="47"/>
    </row>
    <row r="506">
      <c r="F506" s="29"/>
      <c r="I506" s="47"/>
      <c r="J506" s="47"/>
    </row>
    <row r="507">
      <c r="F507" s="41"/>
      <c r="I507" s="47"/>
      <c r="J507" s="47"/>
    </row>
    <row r="508">
      <c r="F508" s="41"/>
      <c r="I508" s="47"/>
      <c r="J508" s="47"/>
    </row>
    <row r="509">
      <c r="F509" s="41"/>
      <c r="I509" s="47"/>
      <c r="J509" s="47"/>
    </row>
    <row r="510">
      <c r="F510" s="41"/>
      <c r="I510" s="47"/>
      <c r="J510" s="47"/>
    </row>
    <row r="511">
      <c r="F511" s="41"/>
      <c r="I511" s="47"/>
      <c r="J511" s="47"/>
    </row>
    <row r="512">
      <c r="F512" s="41"/>
      <c r="I512" s="47"/>
      <c r="J512" s="47"/>
    </row>
    <row r="513">
      <c r="F513" s="29"/>
      <c r="I513" s="47"/>
      <c r="J513" s="47"/>
    </row>
    <row r="514">
      <c r="F514" s="29"/>
      <c r="I514" s="47"/>
      <c r="J514" s="47"/>
    </row>
    <row r="515">
      <c r="F515" s="29"/>
      <c r="I515" s="47"/>
      <c r="J515" s="47"/>
    </row>
    <row r="516">
      <c r="F516" s="41"/>
      <c r="I516" s="47"/>
      <c r="J516" s="47"/>
    </row>
    <row r="517">
      <c r="F517" s="29"/>
      <c r="I517" s="47"/>
      <c r="J517" s="47"/>
    </row>
    <row r="518">
      <c r="I518" s="47"/>
      <c r="J518" s="47"/>
    </row>
    <row r="519">
      <c r="I519" s="47"/>
      <c r="J519" s="47"/>
    </row>
    <row r="520">
      <c r="I520" s="47"/>
      <c r="J520" s="47"/>
    </row>
    <row r="521">
      <c r="I521" s="47"/>
      <c r="J521" s="47"/>
    </row>
    <row r="522">
      <c r="I522" s="47"/>
      <c r="J522" s="47"/>
    </row>
    <row r="523">
      <c r="I523" s="47"/>
      <c r="J523" s="47"/>
    </row>
    <row r="524">
      <c r="I524" s="47"/>
      <c r="J524" s="47"/>
    </row>
    <row r="525">
      <c r="I525" s="47"/>
      <c r="J525" s="47"/>
    </row>
    <row r="526">
      <c r="I526" s="47"/>
      <c r="J526" s="47"/>
    </row>
    <row r="527">
      <c r="I527" s="47"/>
      <c r="J527" s="47"/>
    </row>
    <row r="528">
      <c r="I528" s="47"/>
      <c r="J528" s="47"/>
    </row>
    <row r="529">
      <c r="I529" s="47"/>
      <c r="J529" s="47"/>
    </row>
    <row r="530">
      <c r="F530" s="41"/>
      <c r="I530" s="47"/>
      <c r="J530" s="47"/>
    </row>
    <row r="531">
      <c r="I531" s="47"/>
      <c r="J531" s="47"/>
    </row>
    <row r="532">
      <c r="F532" s="41"/>
      <c r="I532" s="47"/>
      <c r="J532" s="47"/>
    </row>
    <row r="533">
      <c r="F533" s="41"/>
      <c r="I533" s="47"/>
      <c r="J533" s="47"/>
    </row>
    <row r="534">
      <c r="F534" s="41"/>
      <c r="I534" s="47"/>
      <c r="J534" s="47"/>
    </row>
    <row r="535">
      <c r="F535" s="41"/>
      <c r="I535" s="47"/>
      <c r="J535" s="47"/>
    </row>
    <row r="536">
      <c r="F536" s="41"/>
      <c r="I536" s="47"/>
      <c r="J536" s="47"/>
    </row>
    <row r="537">
      <c r="F537" s="41"/>
      <c r="I537" s="47"/>
      <c r="J537" s="47"/>
    </row>
    <row r="538">
      <c r="F538" s="41"/>
      <c r="I538" s="47"/>
      <c r="J538" s="47"/>
    </row>
    <row r="539">
      <c r="F539" s="41"/>
      <c r="I539" s="47"/>
      <c r="J539" s="47"/>
    </row>
    <row r="540">
      <c r="F540" s="41"/>
      <c r="I540" s="47"/>
      <c r="J540" s="47"/>
    </row>
    <row r="541">
      <c r="F541" s="41"/>
      <c r="I541" s="47"/>
      <c r="J541" s="47"/>
    </row>
    <row r="542">
      <c r="F542" s="41"/>
      <c r="I542" s="47"/>
      <c r="J542" s="47"/>
    </row>
    <row r="543">
      <c r="F543" s="41"/>
      <c r="I543" s="47"/>
      <c r="J543" s="47"/>
    </row>
    <row r="544">
      <c r="F544" s="41"/>
      <c r="I544" s="47"/>
      <c r="J544" s="47"/>
    </row>
    <row r="545">
      <c r="F545" s="41"/>
      <c r="I545" s="47"/>
      <c r="J545" s="47"/>
    </row>
    <row r="546">
      <c r="F546" s="41"/>
      <c r="I546" s="47"/>
      <c r="J546" s="47"/>
    </row>
    <row r="547">
      <c r="F547" s="41"/>
      <c r="I547" s="47"/>
      <c r="J547" s="47"/>
    </row>
    <row r="548">
      <c r="F548" s="41"/>
      <c r="I548" s="47"/>
      <c r="J548" s="47"/>
    </row>
    <row r="549">
      <c r="F549" s="41"/>
      <c r="I549" s="47"/>
      <c r="J549" s="47"/>
    </row>
    <row r="550">
      <c r="F550" s="41"/>
      <c r="I550" s="47"/>
      <c r="J550" s="47"/>
    </row>
    <row r="551">
      <c r="F551" s="41"/>
      <c r="I551" s="47"/>
      <c r="J551" s="47"/>
    </row>
    <row r="552">
      <c r="F552" s="41"/>
      <c r="I552" s="47"/>
      <c r="J552" s="47"/>
    </row>
    <row r="553">
      <c r="F553" s="41"/>
      <c r="I553" s="47"/>
      <c r="J553" s="47"/>
    </row>
    <row r="554">
      <c r="F554" s="41"/>
      <c r="I554" s="47"/>
      <c r="J554" s="47"/>
    </row>
    <row r="555">
      <c r="F555" s="41"/>
      <c r="I555" s="47"/>
      <c r="J555" s="47"/>
    </row>
    <row r="556">
      <c r="F556" s="41"/>
      <c r="I556" s="47"/>
      <c r="J556" s="47"/>
    </row>
    <row r="557">
      <c r="F557" s="41"/>
      <c r="I557" s="47"/>
      <c r="J557" s="47"/>
    </row>
    <row r="558">
      <c r="F558" s="41"/>
      <c r="I558" s="47"/>
      <c r="J558" s="47"/>
    </row>
    <row r="559">
      <c r="F559" s="41"/>
      <c r="I559" s="47"/>
      <c r="J559" s="47"/>
    </row>
    <row r="560">
      <c r="F560" s="41"/>
      <c r="I560" s="47"/>
      <c r="J560" s="47"/>
    </row>
    <row r="561">
      <c r="F561" s="41"/>
      <c r="I561" s="47"/>
      <c r="J561" s="47"/>
    </row>
    <row r="562">
      <c r="F562" s="41"/>
      <c r="I562" s="47"/>
      <c r="J562" s="47"/>
    </row>
    <row r="563">
      <c r="F563" s="41"/>
      <c r="I563" s="47"/>
      <c r="J563" s="47"/>
    </row>
    <row r="564">
      <c r="F564" s="41"/>
      <c r="I564" s="47"/>
      <c r="J564" s="47"/>
    </row>
    <row r="565">
      <c r="F565" s="41"/>
      <c r="I565" s="47"/>
      <c r="J565" s="47"/>
    </row>
    <row r="566">
      <c r="F566" s="41"/>
      <c r="I566" s="47"/>
      <c r="J566" s="47"/>
    </row>
    <row r="567">
      <c r="F567" s="41"/>
      <c r="I567" s="47"/>
      <c r="J567" s="47"/>
    </row>
    <row r="568">
      <c r="F568" s="41"/>
      <c r="I568" s="47"/>
      <c r="J568" s="47"/>
    </row>
    <row r="569">
      <c r="F569" s="41"/>
      <c r="I569" s="47"/>
      <c r="J569" s="47"/>
    </row>
    <row r="570">
      <c r="F570" s="41"/>
      <c r="I570" s="47"/>
      <c r="J570" s="47"/>
    </row>
    <row r="571">
      <c r="F571" s="41"/>
      <c r="I571" s="47"/>
      <c r="J571" s="47"/>
    </row>
    <row r="572">
      <c r="F572" s="41"/>
      <c r="I572" s="47"/>
      <c r="J572" s="47"/>
    </row>
    <row r="573">
      <c r="F573" s="41"/>
      <c r="I573" s="47"/>
      <c r="J573" s="47"/>
    </row>
    <row r="574">
      <c r="F574" s="41"/>
      <c r="I574" s="47"/>
      <c r="J574" s="47"/>
    </row>
    <row r="575">
      <c r="F575" s="41"/>
      <c r="I575" s="47"/>
      <c r="J575" s="47"/>
    </row>
    <row r="576">
      <c r="F576" s="41"/>
      <c r="I576" s="47"/>
      <c r="J576" s="47"/>
    </row>
    <row r="577">
      <c r="F577" s="41"/>
      <c r="I577" s="47"/>
      <c r="J577" s="47"/>
    </row>
    <row r="578">
      <c r="F578" s="41"/>
      <c r="I578" s="47"/>
      <c r="J578" s="47"/>
    </row>
    <row r="579">
      <c r="F579" s="41"/>
      <c r="I579" s="47"/>
      <c r="J579" s="47"/>
    </row>
    <row r="580">
      <c r="F580" s="41"/>
      <c r="I580" s="47"/>
      <c r="J580" s="47"/>
    </row>
    <row r="581">
      <c r="F581" s="41"/>
      <c r="I581" s="47"/>
      <c r="J581" s="47"/>
    </row>
    <row r="582">
      <c r="F582" s="41"/>
      <c r="I582" s="47"/>
      <c r="J582" s="47"/>
    </row>
    <row r="583">
      <c r="F583" s="41"/>
      <c r="I583" s="47"/>
      <c r="J583" s="47"/>
    </row>
    <row r="584">
      <c r="F584" s="41"/>
      <c r="I584" s="47"/>
      <c r="J584" s="47"/>
    </row>
    <row r="585">
      <c r="F585" s="41"/>
      <c r="I585" s="47"/>
      <c r="J585" s="47"/>
    </row>
    <row r="586">
      <c r="F586" s="41"/>
      <c r="I586" s="47"/>
      <c r="J586" s="47"/>
    </row>
    <row r="587">
      <c r="F587" s="41"/>
      <c r="I587" s="47"/>
      <c r="J587" s="47"/>
    </row>
    <row r="588">
      <c r="F588" s="41"/>
      <c r="I588" s="47"/>
      <c r="J588" s="47"/>
    </row>
    <row r="589">
      <c r="F589" s="41"/>
      <c r="I589" s="47"/>
      <c r="J589" s="47"/>
    </row>
    <row r="590">
      <c r="F590" s="41"/>
      <c r="I590" s="47"/>
      <c r="J590" s="47"/>
    </row>
    <row r="591">
      <c r="F591" s="41"/>
      <c r="I591" s="47"/>
      <c r="J591" s="47"/>
    </row>
    <row r="592">
      <c r="F592" s="41"/>
      <c r="I592" s="47"/>
      <c r="J592" s="47"/>
    </row>
    <row r="593">
      <c r="F593" s="41"/>
      <c r="I593" s="47"/>
      <c r="J593" s="47"/>
    </row>
    <row r="594">
      <c r="F594" s="41"/>
      <c r="I594" s="47"/>
      <c r="J594" s="47"/>
    </row>
    <row r="595">
      <c r="F595" s="41"/>
      <c r="I595" s="47"/>
      <c r="J595" s="47"/>
    </row>
    <row r="596">
      <c r="F596" s="41"/>
      <c r="I596" s="47"/>
      <c r="J596" s="47"/>
    </row>
    <row r="597">
      <c r="F597" s="41"/>
      <c r="I597" s="47"/>
      <c r="J597" s="47"/>
    </row>
    <row r="598">
      <c r="F598" s="41"/>
      <c r="I598" s="47"/>
      <c r="J598" s="47"/>
    </row>
    <row r="599">
      <c r="F599" s="41"/>
      <c r="I599" s="47"/>
      <c r="J599" s="47"/>
    </row>
    <row r="600">
      <c r="F600" s="41"/>
      <c r="I600" s="47"/>
      <c r="J600" s="47"/>
    </row>
    <row r="601">
      <c r="F601" s="41"/>
      <c r="I601" s="47"/>
      <c r="J601" s="47"/>
    </row>
    <row r="602">
      <c r="F602" s="41"/>
      <c r="I602" s="47"/>
      <c r="J602" s="47"/>
    </row>
    <row r="603">
      <c r="F603" s="41"/>
      <c r="I603" s="47"/>
      <c r="J603" s="47"/>
    </row>
    <row r="604">
      <c r="F604" s="41"/>
      <c r="I604" s="47"/>
      <c r="J604" s="47"/>
    </row>
    <row r="605">
      <c r="F605" s="41"/>
      <c r="I605" s="47"/>
      <c r="J605" s="47"/>
    </row>
    <row r="606">
      <c r="F606" s="41"/>
      <c r="I606" s="47"/>
      <c r="J606" s="47"/>
    </row>
    <row r="607">
      <c r="F607" s="41"/>
      <c r="I607" s="47"/>
      <c r="J607" s="47"/>
    </row>
    <row r="608">
      <c r="F608" s="41"/>
      <c r="I608" s="47"/>
      <c r="J608" s="47"/>
    </row>
    <row r="609">
      <c r="F609" s="41"/>
      <c r="I609" s="47"/>
      <c r="J609" s="47"/>
    </row>
    <row r="610">
      <c r="F610" s="41"/>
      <c r="I610" s="47"/>
      <c r="J610" s="47"/>
    </row>
    <row r="611">
      <c r="F611" s="41"/>
      <c r="I611" s="47"/>
      <c r="J611" s="47"/>
    </row>
    <row r="612">
      <c r="F612" s="41"/>
      <c r="I612" s="47"/>
      <c r="J612" s="47"/>
    </row>
    <row r="613">
      <c r="F613" s="41"/>
      <c r="I613" s="47"/>
      <c r="J613" s="47"/>
    </row>
    <row r="614">
      <c r="F614" s="41"/>
      <c r="I614" s="47"/>
      <c r="J614" s="47"/>
    </row>
    <row r="615">
      <c r="F615" s="41"/>
      <c r="I615" s="47"/>
      <c r="J615" s="47"/>
    </row>
    <row r="616">
      <c r="F616" s="41"/>
      <c r="I616" s="47"/>
      <c r="J616" s="47"/>
    </row>
    <row r="617">
      <c r="F617" s="41"/>
      <c r="I617" s="47"/>
      <c r="J617" s="47"/>
    </row>
    <row r="618">
      <c r="F618" s="41"/>
      <c r="I618" s="47"/>
      <c r="J618" s="47"/>
    </row>
    <row r="619">
      <c r="F619" s="41"/>
      <c r="I619" s="47"/>
      <c r="J619" s="47"/>
    </row>
    <row r="620">
      <c r="F620" s="41"/>
      <c r="I620" s="47"/>
      <c r="J620" s="47"/>
    </row>
    <row r="621">
      <c r="F621" s="41"/>
      <c r="I621" s="47"/>
      <c r="J621" s="47"/>
    </row>
    <row r="622">
      <c r="F622" s="41"/>
      <c r="I622" s="47"/>
      <c r="J622" s="47"/>
    </row>
    <row r="623">
      <c r="F623" s="41"/>
      <c r="I623" s="47"/>
      <c r="J623" s="47"/>
    </row>
    <row r="624">
      <c r="F624" s="41"/>
      <c r="I624" s="47"/>
      <c r="J624" s="47"/>
    </row>
    <row r="625">
      <c r="F625" s="41"/>
      <c r="I625" s="47"/>
      <c r="J625" s="47"/>
    </row>
    <row r="626">
      <c r="F626" s="41"/>
      <c r="I626" s="47"/>
      <c r="J626" s="47"/>
    </row>
    <row r="627">
      <c r="F627" s="41"/>
      <c r="I627" s="47"/>
      <c r="J627" s="47"/>
    </row>
    <row r="628">
      <c r="F628" s="41"/>
      <c r="I628" s="47"/>
      <c r="J628" s="47"/>
    </row>
    <row r="629">
      <c r="F629" s="41"/>
      <c r="I629" s="47"/>
      <c r="J629" s="47"/>
    </row>
    <row r="630">
      <c r="F630" s="41"/>
      <c r="I630" s="47"/>
      <c r="J630" s="47"/>
    </row>
    <row r="631">
      <c r="F631" s="41"/>
      <c r="I631" s="47"/>
      <c r="J631" s="47"/>
    </row>
    <row r="632">
      <c r="F632" s="41"/>
      <c r="I632" s="47"/>
      <c r="J632" s="47"/>
    </row>
    <row r="633">
      <c r="F633" s="41"/>
      <c r="I633" s="47"/>
      <c r="J633" s="47"/>
    </row>
    <row r="634">
      <c r="F634" s="41"/>
      <c r="I634" s="47"/>
      <c r="J634" s="47"/>
    </row>
    <row r="635">
      <c r="F635" s="41"/>
      <c r="I635" s="47"/>
      <c r="J635" s="47"/>
    </row>
    <row r="636">
      <c r="F636" s="41"/>
      <c r="I636" s="47"/>
      <c r="J636" s="47"/>
    </row>
    <row r="637">
      <c r="F637" s="41"/>
      <c r="I637" s="47"/>
      <c r="J637" s="47"/>
    </row>
    <row r="638">
      <c r="F638" s="41"/>
      <c r="I638" s="47"/>
      <c r="J638" s="47"/>
    </row>
    <row r="639">
      <c r="F639" s="41"/>
      <c r="I639" s="47"/>
      <c r="J639" s="47"/>
    </row>
    <row r="640">
      <c r="F640" s="41"/>
      <c r="I640" s="47"/>
      <c r="J640" s="47"/>
    </row>
    <row r="641">
      <c r="F641" s="41"/>
      <c r="I641" s="47"/>
      <c r="J641" s="47"/>
    </row>
    <row r="642">
      <c r="F642" s="41"/>
      <c r="I642" s="47"/>
      <c r="J642" s="47"/>
    </row>
    <row r="643">
      <c r="F643" s="41"/>
      <c r="I643" s="47"/>
      <c r="J643" s="47"/>
    </row>
    <row r="644">
      <c r="F644" s="41"/>
      <c r="I644" s="47"/>
      <c r="J644" s="47"/>
    </row>
    <row r="645">
      <c r="F645" s="41"/>
      <c r="I645" s="47"/>
      <c r="J645" s="47"/>
    </row>
    <row r="646">
      <c r="F646" s="41"/>
      <c r="I646" s="47"/>
      <c r="J646" s="47"/>
    </row>
    <row r="647">
      <c r="F647" s="41"/>
      <c r="I647" s="47"/>
      <c r="J647" s="47"/>
    </row>
    <row r="648">
      <c r="F648" s="41"/>
      <c r="I648" s="47"/>
      <c r="J648" s="47"/>
    </row>
    <row r="649">
      <c r="F649" s="41"/>
      <c r="I649" s="47"/>
      <c r="J649" s="47"/>
    </row>
    <row r="650">
      <c r="F650" s="41"/>
      <c r="I650" s="47"/>
      <c r="J650" s="47"/>
    </row>
    <row r="651">
      <c r="F651" s="41"/>
      <c r="I651" s="47"/>
      <c r="J651" s="47"/>
    </row>
    <row r="652">
      <c r="F652" s="41"/>
      <c r="I652" s="47"/>
      <c r="J652" s="47"/>
    </row>
    <row r="653">
      <c r="F653" s="41"/>
      <c r="I653" s="47"/>
      <c r="J653" s="47"/>
    </row>
    <row r="654">
      <c r="F654" s="41"/>
      <c r="I654" s="47"/>
      <c r="J654" s="47"/>
    </row>
    <row r="655">
      <c r="F655" s="41"/>
      <c r="I655" s="47"/>
      <c r="J655" s="47"/>
    </row>
    <row r="656">
      <c r="F656" s="41"/>
      <c r="I656" s="47"/>
      <c r="J656" s="47"/>
    </row>
    <row r="657">
      <c r="F657" s="41"/>
      <c r="I657" s="47"/>
      <c r="J657" s="47"/>
    </row>
    <row r="658">
      <c r="F658" s="41"/>
      <c r="I658" s="47"/>
      <c r="J658" s="47"/>
    </row>
    <row r="659">
      <c r="F659" s="41"/>
      <c r="I659" s="47"/>
      <c r="J659" s="47"/>
    </row>
    <row r="660">
      <c r="F660" s="41"/>
      <c r="I660" s="47"/>
      <c r="J660" s="47"/>
    </row>
    <row r="661">
      <c r="F661" s="41"/>
      <c r="I661" s="47"/>
      <c r="J661" s="47"/>
    </row>
    <row r="662">
      <c r="F662" s="41"/>
      <c r="I662" s="47"/>
      <c r="J662" s="47"/>
    </row>
    <row r="663">
      <c r="F663" s="41"/>
      <c r="I663" s="47"/>
      <c r="J663" s="47"/>
    </row>
    <row r="664">
      <c r="F664" s="41"/>
      <c r="I664" s="47"/>
      <c r="J664" s="47"/>
    </row>
    <row r="665">
      <c r="F665" s="41"/>
      <c r="I665" s="47"/>
      <c r="J665" s="47"/>
    </row>
    <row r="666">
      <c r="F666" s="41"/>
      <c r="I666" s="47"/>
      <c r="J666" s="47"/>
    </row>
    <row r="667">
      <c r="F667" s="41"/>
      <c r="I667" s="47"/>
      <c r="J667" s="47"/>
    </row>
    <row r="668">
      <c r="F668" s="41"/>
      <c r="I668" s="47"/>
      <c r="J668" s="47"/>
    </row>
    <row r="669">
      <c r="F669" s="41"/>
      <c r="I669" s="47"/>
      <c r="J669" s="47"/>
    </row>
    <row r="670">
      <c r="F670" s="41"/>
      <c r="I670" s="47"/>
      <c r="J670" s="47"/>
    </row>
    <row r="671">
      <c r="F671" s="41"/>
      <c r="I671" s="47"/>
      <c r="J671" s="47"/>
    </row>
    <row r="672">
      <c r="F672" s="41"/>
      <c r="I672" s="47"/>
      <c r="J672" s="47"/>
    </row>
    <row r="673">
      <c r="F673" s="41"/>
      <c r="I673" s="47"/>
      <c r="J673" s="47"/>
    </row>
    <row r="674">
      <c r="F674" s="41"/>
      <c r="I674" s="47"/>
      <c r="J674" s="47"/>
    </row>
    <row r="675">
      <c r="F675" s="41"/>
      <c r="I675" s="47"/>
      <c r="J675" s="47"/>
    </row>
    <row r="676">
      <c r="F676" s="41"/>
      <c r="I676" s="47"/>
      <c r="J676" s="47"/>
    </row>
    <row r="677">
      <c r="F677" s="41"/>
      <c r="I677" s="47"/>
      <c r="J677" s="47"/>
    </row>
    <row r="678">
      <c r="F678" s="41"/>
      <c r="I678" s="47"/>
      <c r="J678" s="47"/>
    </row>
    <row r="679">
      <c r="F679" s="41"/>
      <c r="I679" s="47"/>
      <c r="J679" s="47"/>
    </row>
    <row r="680">
      <c r="F680" s="41"/>
      <c r="I680" s="47"/>
      <c r="J680" s="47"/>
    </row>
    <row r="681">
      <c r="F681" s="41"/>
      <c r="I681" s="47"/>
      <c r="J681" s="47"/>
    </row>
    <row r="682">
      <c r="F682" s="41"/>
      <c r="I682" s="47"/>
      <c r="J682" s="47"/>
    </row>
    <row r="683">
      <c r="F683" s="41"/>
      <c r="I683" s="47"/>
      <c r="J683" s="47"/>
    </row>
    <row r="684">
      <c r="F684" s="41"/>
      <c r="I684" s="47"/>
      <c r="J684" s="47"/>
    </row>
    <row r="685">
      <c r="F685" s="41"/>
      <c r="I685" s="47"/>
      <c r="J685" s="47"/>
    </row>
    <row r="686">
      <c r="F686" s="41"/>
      <c r="I686" s="47"/>
      <c r="J686" s="47"/>
    </row>
    <row r="687">
      <c r="F687" s="41"/>
      <c r="I687" s="47"/>
      <c r="J687" s="47"/>
    </row>
    <row r="688">
      <c r="F688" s="41"/>
      <c r="I688" s="47"/>
      <c r="J688" s="47"/>
    </row>
    <row r="689">
      <c r="F689" s="41"/>
      <c r="I689" s="47"/>
      <c r="J689" s="47"/>
    </row>
    <row r="690">
      <c r="F690" s="41"/>
      <c r="I690" s="47"/>
      <c r="J690" s="47"/>
    </row>
    <row r="691">
      <c r="F691" s="41"/>
      <c r="I691" s="47"/>
      <c r="J691" s="47"/>
    </row>
    <row r="692">
      <c r="F692" s="41"/>
      <c r="I692" s="47"/>
      <c r="J692" s="47"/>
    </row>
    <row r="693">
      <c r="F693" s="41"/>
      <c r="I693" s="47"/>
      <c r="J693" s="47"/>
    </row>
    <row r="694">
      <c r="F694" s="41"/>
      <c r="I694" s="47"/>
      <c r="J694" s="47"/>
    </row>
    <row r="695">
      <c r="F695" s="41"/>
      <c r="I695" s="47"/>
      <c r="J695" s="47"/>
    </row>
    <row r="696">
      <c r="F696" s="41"/>
      <c r="I696" s="47"/>
      <c r="J696" s="47"/>
    </row>
    <row r="697">
      <c r="F697" s="41"/>
      <c r="I697" s="47"/>
      <c r="J697" s="47"/>
    </row>
    <row r="698">
      <c r="F698" s="41"/>
      <c r="I698" s="47"/>
      <c r="J698" s="47"/>
    </row>
    <row r="699">
      <c r="F699" s="41"/>
      <c r="I699" s="47"/>
      <c r="J699" s="47"/>
    </row>
    <row r="700">
      <c r="F700" s="41"/>
      <c r="I700" s="47"/>
      <c r="J700" s="47"/>
    </row>
    <row r="701">
      <c r="F701" s="41"/>
      <c r="I701" s="47"/>
      <c r="J701" s="47"/>
    </row>
    <row r="702">
      <c r="F702" s="41"/>
      <c r="I702" s="47"/>
      <c r="J702" s="47"/>
    </row>
    <row r="703">
      <c r="F703" s="41"/>
      <c r="I703" s="47"/>
      <c r="J703" s="47"/>
    </row>
    <row r="704">
      <c r="F704" s="41"/>
      <c r="I704" s="47"/>
      <c r="J704" s="47"/>
    </row>
    <row r="705">
      <c r="F705" s="41"/>
      <c r="I705" s="47"/>
      <c r="J705" s="47"/>
    </row>
    <row r="706">
      <c r="F706" s="41"/>
      <c r="I706" s="47"/>
      <c r="J706" s="47"/>
    </row>
    <row r="707">
      <c r="F707" s="41"/>
      <c r="I707" s="47"/>
      <c r="J707" s="47"/>
    </row>
    <row r="708">
      <c r="F708" s="41"/>
      <c r="I708" s="47"/>
      <c r="J708" s="47"/>
    </row>
    <row r="709">
      <c r="F709" s="41"/>
      <c r="I709" s="47"/>
      <c r="J709" s="47"/>
    </row>
    <row r="710">
      <c r="F710" s="41"/>
      <c r="I710" s="47"/>
      <c r="J710" s="47"/>
    </row>
    <row r="711">
      <c r="F711" s="41"/>
      <c r="I711" s="47"/>
      <c r="J711" s="47"/>
    </row>
    <row r="712">
      <c r="F712" s="41"/>
      <c r="I712" s="47"/>
      <c r="J712" s="47"/>
    </row>
    <row r="713">
      <c r="F713" s="41"/>
      <c r="I713" s="47"/>
      <c r="J713" s="47"/>
    </row>
    <row r="714">
      <c r="F714" s="41"/>
      <c r="I714" s="47"/>
      <c r="J714" s="47"/>
    </row>
    <row r="715">
      <c r="F715" s="41"/>
      <c r="I715" s="47"/>
      <c r="J715" s="47"/>
    </row>
    <row r="716">
      <c r="F716" s="41"/>
      <c r="I716" s="47"/>
      <c r="J716" s="47"/>
    </row>
    <row r="717">
      <c r="F717" s="41"/>
      <c r="I717" s="47"/>
      <c r="J717" s="47"/>
    </row>
    <row r="718">
      <c r="F718" s="41"/>
      <c r="I718" s="47"/>
      <c r="J718" s="47"/>
    </row>
    <row r="719">
      <c r="F719" s="41"/>
      <c r="I719" s="47"/>
      <c r="J719" s="47"/>
    </row>
    <row r="720">
      <c r="F720" s="41"/>
      <c r="I720" s="47"/>
      <c r="J720" s="47"/>
    </row>
    <row r="721">
      <c r="F721" s="41"/>
      <c r="I721" s="47"/>
      <c r="J721" s="47"/>
    </row>
    <row r="722">
      <c r="F722" s="41"/>
      <c r="I722" s="47"/>
      <c r="J722" s="47"/>
    </row>
    <row r="723">
      <c r="F723" s="41"/>
      <c r="I723" s="47"/>
      <c r="J723" s="47"/>
    </row>
    <row r="724">
      <c r="F724" s="41"/>
      <c r="I724" s="47"/>
      <c r="J724" s="47"/>
    </row>
    <row r="725">
      <c r="F725" s="41"/>
      <c r="I725" s="47"/>
      <c r="J725" s="47"/>
    </row>
    <row r="726">
      <c r="F726" s="41"/>
      <c r="I726" s="47"/>
      <c r="J726" s="47"/>
    </row>
    <row r="727">
      <c r="F727" s="41"/>
      <c r="I727" s="47"/>
      <c r="J727" s="47"/>
    </row>
    <row r="728">
      <c r="F728" s="41"/>
      <c r="I728" s="47"/>
      <c r="J728" s="47"/>
    </row>
    <row r="729">
      <c r="F729" s="41"/>
      <c r="I729" s="47"/>
      <c r="J729" s="47"/>
    </row>
    <row r="730">
      <c r="F730" s="41"/>
      <c r="I730" s="47"/>
      <c r="J730" s="47"/>
    </row>
    <row r="731">
      <c r="F731" s="41"/>
      <c r="I731" s="47"/>
      <c r="J731" s="47"/>
    </row>
    <row r="732">
      <c r="F732" s="41"/>
      <c r="I732" s="47"/>
      <c r="J732" s="47"/>
    </row>
    <row r="733">
      <c r="F733" s="41"/>
      <c r="I733" s="47"/>
      <c r="J733" s="47"/>
    </row>
    <row r="734">
      <c r="F734" s="41"/>
      <c r="I734" s="47"/>
      <c r="J734" s="47"/>
    </row>
    <row r="735">
      <c r="F735" s="41"/>
      <c r="I735" s="47"/>
      <c r="J735" s="47"/>
    </row>
    <row r="736">
      <c r="F736" s="41"/>
      <c r="I736" s="47"/>
      <c r="J736" s="47"/>
    </row>
    <row r="737">
      <c r="F737" s="41"/>
      <c r="I737" s="47"/>
      <c r="J737" s="47"/>
    </row>
    <row r="738">
      <c r="F738" s="41"/>
      <c r="I738" s="47"/>
      <c r="J738" s="47"/>
    </row>
    <row r="739">
      <c r="F739" s="41"/>
      <c r="I739" s="47"/>
      <c r="J739" s="47"/>
    </row>
    <row r="740">
      <c r="F740" s="41"/>
      <c r="I740" s="47"/>
      <c r="J740" s="47"/>
    </row>
    <row r="741">
      <c r="F741" s="41"/>
      <c r="I741" s="47"/>
      <c r="J741" s="47"/>
    </row>
    <row r="742">
      <c r="F742" s="41"/>
      <c r="I742" s="47"/>
      <c r="J742" s="47"/>
    </row>
    <row r="743">
      <c r="F743" s="41"/>
      <c r="I743" s="47"/>
      <c r="J743" s="47"/>
    </row>
    <row r="744">
      <c r="F744" s="41"/>
      <c r="I744" s="47"/>
      <c r="J744" s="47"/>
    </row>
    <row r="745">
      <c r="F745" s="41"/>
      <c r="I745" s="47"/>
      <c r="J745" s="47"/>
    </row>
    <row r="746">
      <c r="F746" s="41"/>
      <c r="I746" s="47"/>
      <c r="J746" s="47"/>
    </row>
    <row r="747">
      <c r="F747" s="41"/>
      <c r="I747" s="47"/>
      <c r="J747" s="47"/>
    </row>
    <row r="748">
      <c r="F748" s="41"/>
      <c r="I748" s="47"/>
      <c r="J748" s="47"/>
    </row>
    <row r="749">
      <c r="F749" s="41"/>
      <c r="I749" s="47"/>
      <c r="J749" s="47"/>
    </row>
    <row r="750">
      <c r="F750" s="41"/>
      <c r="I750" s="47"/>
      <c r="J750" s="47"/>
    </row>
    <row r="751">
      <c r="F751" s="41"/>
      <c r="I751" s="47"/>
      <c r="J751" s="47"/>
    </row>
    <row r="752">
      <c r="F752" s="41"/>
      <c r="I752" s="47"/>
      <c r="J752" s="47"/>
    </row>
    <row r="753">
      <c r="F753" s="41"/>
      <c r="I753" s="47"/>
      <c r="J753" s="47"/>
    </row>
    <row r="754">
      <c r="F754" s="41"/>
      <c r="I754" s="47"/>
      <c r="J754" s="47"/>
    </row>
    <row r="755">
      <c r="F755" s="41"/>
      <c r="I755" s="47"/>
      <c r="J755" s="47"/>
    </row>
    <row r="756">
      <c r="F756" s="41"/>
      <c r="I756" s="47"/>
      <c r="J756" s="47"/>
    </row>
    <row r="757">
      <c r="F757" s="41"/>
      <c r="I757" s="47"/>
      <c r="J757" s="47"/>
    </row>
    <row r="758">
      <c r="F758" s="41"/>
      <c r="I758" s="47"/>
      <c r="J758" s="47"/>
    </row>
    <row r="759">
      <c r="F759" s="41"/>
      <c r="I759" s="47"/>
      <c r="J759" s="47"/>
    </row>
    <row r="760">
      <c r="F760" s="41"/>
      <c r="I760" s="47"/>
      <c r="J760" s="47"/>
    </row>
    <row r="761">
      <c r="F761" s="41"/>
      <c r="I761" s="47"/>
      <c r="J761" s="47"/>
    </row>
    <row r="762">
      <c r="F762" s="41"/>
      <c r="I762" s="47"/>
      <c r="J762" s="47"/>
    </row>
    <row r="763">
      <c r="F763" s="41"/>
      <c r="I763" s="47"/>
      <c r="J763" s="47"/>
    </row>
    <row r="764">
      <c r="F764" s="41"/>
      <c r="I764" s="47"/>
      <c r="J764" s="47"/>
    </row>
    <row r="765">
      <c r="F765" s="41"/>
      <c r="I765" s="47"/>
      <c r="J765" s="47"/>
    </row>
    <row r="766">
      <c r="F766" s="41"/>
      <c r="I766" s="47"/>
      <c r="J766" s="47"/>
    </row>
    <row r="767">
      <c r="F767" s="41"/>
      <c r="I767" s="47"/>
      <c r="J767" s="47"/>
    </row>
    <row r="768">
      <c r="F768" s="41"/>
      <c r="I768" s="47"/>
      <c r="J768" s="47"/>
    </row>
    <row r="769">
      <c r="F769" s="41"/>
      <c r="I769" s="47"/>
      <c r="J769" s="47"/>
    </row>
    <row r="770">
      <c r="F770" s="41"/>
      <c r="I770" s="47"/>
      <c r="J770" s="47"/>
    </row>
    <row r="771">
      <c r="F771" s="41"/>
      <c r="I771" s="47"/>
      <c r="J771" s="47"/>
    </row>
    <row r="772">
      <c r="F772" s="41"/>
      <c r="I772" s="47"/>
      <c r="J772" s="47"/>
    </row>
    <row r="773">
      <c r="F773" s="41"/>
      <c r="I773" s="47"/>
      <c r="J773" s="47"/>
    </row>
    <row r="774">
      <c r="F774" s="41"/>
      <c r="I774" s="47"/>
      <c r="J774" s="47"/>
    </row>
    <row r="775">
      <c r="F775" s="41"/>
      <c r="I775" s="47"/>
      <c r="J775" s="47"/>
    </row>
    <row r="776">
      <c r="F776" s="41"/>
      <c r="I776" s="47"/>
      <c r="J776" s="47"/>
    </row>
    <row r="777">
      <c r="F777" s="41"/>
      <c r="I777" s="47"/>
      <c r="J777" s="47"/>
    </row>
    <row r="778">
      <c r="F778" s="41"/>
      <c r="I778" s="47"/>
      <c r="J778" s="47"/>
    </row>
    <row r="779">
      <c r="F779" s="41"/>
      <c r="I779" s="47"/>
      <c r="J779" s="47"/>
    </row>
    <row r="780">
      <c r="F780" s="41"/>
      <c r="I780" s="47"/>
      <c r="J780" s="47"/>
    </row>
    <row r="781">
      <c r="F781" s="41"/>
      <c r="I781" s="47"/>
      <c r="J781" s="47"/>
    </row>
    <row r="782">
      <c r="F782" s="41"/>
      <c r="I782" s="47"/>
      <c r="J782" s="47"/>
    </row>
    <row r="783">
      <c r="F783" s="41"/>
      <c r="I783" s="47"/>
      <c r="J783" s="47"/>
    </row>
    <row r="784">
      <c r="F784" s="41"/>
      <c r="I784" s="47"/>
      <c r="J784" s="47"/>
    </row>
    <row r="785">
      <c r="F785" s="41"/>
      <c r="I785" s="47"/>
      <c r="J785" s="47"/>
    </row>
    <row r="786">
      <c r="F786" s="41"/>
      <c r="I786" s="47"/>
      <c r="J786" s="47"/>
    </row>
    <row r="787">
      <c r="F787" s="41"/>
      <c r="I787" s="47"/>
      <c r="J787" s="47"/>
    </row>
    <row r="788">
      <c r="F788" s="41"/>
      <c r="I788" s="47"/>
      <c r="J788" s="47"/>
    </row>
    <row r="789">
      <c r="F789" s="41"/>
      <c r="I789" s="47"/>
      <c r="J789" s="47"/>
    </row>
    <row r="790">
      <c r="F790" s="41"/>
      <c r="I790" s="47"/>
      <c r="J790" s="47"/>
    </row>
    <row r="791">
      <c r="F791" s="41"/>
      <c r="I791" s="47"/>
      <c r="J791" s="47"/>
    </row>
    <row r="792">
      <c r="F792" s="41"/>
      <c r="I792" s="47"/>
      <c r="J792" s="47"/>
    </row>
    <row r="793">
      <c r="F793" s="41"/>
      <c r="I793" s="47"/>
      <c r="J793" s="47"/>
    </row>
    <row r="794">
      <c r="F794" s="41"/>
      <c r="I794" s="47"/>
      <c r="J794" s="47"/>
    </row>
    <row r="795">
      <c r="F795" s="41"/>
      <c r="I795" s="47"/>
      <c r="J795" s="47"/>
    </row>
    <row r="796">
      <c r="F796" s="41"/>
      <c r="I796" s="47"/>
      <c r="J796" s="47"/>
    </row>
    <row r="797">
      <c r="F797" s="41"/>
      <c r="I797" s="47"/>
      <c r="J797" s="47"/>
    </row>
    <row r="798">
      <c r="F798" s="41"/>
      <c r="I798" s="47"/>
      <c r="J798" s="47"/>
    </row>
    <row r="799">
      <c r="F799" s="41"/>
      <c r="I799" s="47"/>
      <c r="J799" s="47"/>
    </row>
    <row r="800">
      <c r="F800" s="41"/>
      <c r="I800" s="47"/>
      <c r="J800" s="47"/>
    </row>
    <row r="801">
      <c r="F801" s="41"/>
      <c r="I801" s="47"/>
      <c r="J801" s="47"/>
    </row>
    <row r="802">
      <c r="F802" s="41"/>
      <c r="I802" s="47"/>
      <c r="J802" s="47"/>
    </row>
    <row r="803">
      <c r="F803" s="41"/>
      <c r="I803" s="47"/>
      <c r="J803" s="47"/>
    </row>
    <row r="804">
      <c r="F804" s="41"/>
      <c r="I804" s="47"/>
      <c r="J804" s="47"/>
    </row>
    <row r="805">
      <c r="F805" s="41"/>
      <c r="I805" s="47"/>
      <c r="J805" s="47"/>
    </row>
    <row r="806">
      <c r="F806" s="41"/>
      <c r="I806" s="47"/>
      <c r="J806" s="47"/>
    </row>
    <row r="807">
      <c r="F807" s="41"/>
      <c r="I807" s="47"/>
      <c r="J807" s="47"/>
    </row>
    <row r="808">
      <c r="F808" s="41"/>
      <c r="I808" s="47"/>
      <c r="J808" s="47"/>
    </row>
    <row r="809">
      <c r="F809" s="41"/>
      <c r="I809" s="47"/>
      <c r="J809" s="47"/>
    </row>
    <row r="810">
      <c r="F810" s="41"/>
      <c r="I810" s="47"/>
      <c r="J810" s="47"/>
    </row>
    <row r="811">
      <c r="F811" s="41"/>
      <c r="I811" s="47"/>
      <c r="J811" s="47"/>
    </row>
    <row r="812">
      <c r="F812" s="41"/>
      <c r="I812" s="47"/>
      <c r="J812" s="47"/>
    </row>
    <row r="813">
      <c r="F813" s="41"/>
      <c r="I813" s="47"/>
      <c r="J813" s="47"/>
    </row>
    <row r="814">
      <c r="F814" s="41"/>
      <c r="I814" s="47"/>
      <c r="J814" s="47"/>
    </row>
    <row r="815">
      <c r="F815" s="41"/>
      <c r="I815" s="47"/>
      <c r="J815" s="47"/>
    </row>
    <row r="816">
      <c r="F816" s="41"/>
      <c r="I816" s="47"/>
      <c r="J816" s="47"/>
    </row>
    <row r="817">
      <c r="F817" s="41"/>
      <c r="I817" s="47"/>
      <c r="J817" s="47"/>
    </row>
    <row r="818">
      <c r="F818" s="41"/>
      <c r="I818" s="47"/>
      <c r="J818" s="47"/>
    </row>
    <row r="819">
      <c r="F819" s="41"/>
      <c r="I819" s="47"/>
      <c r="J819" s="47"/>
    </row>
    <row r="820">
      <c r="F820" s="41"/>
      <c r="I820" s="47"/>
      <c r="J820" s="47"/>
    </row>
    <row r="821">
      <c r="F821" s="41"/>
      <c r="I821" s="47"/>
      <c r="J821" s="47"/>
    </row>
    <row r="822">
      <c r="F822" s="41"/>
      <c r="I822" s="47"/>
      <c r="J822" s="47"/>
    </row>
    <row r="823">
      <c r="F823" s="41"/>
      <c r="I823" s="47"/>
      <c r="J823" s="47"/>
    </row>
    <row r="824">
      <c r="F824" s="41"/>
      <c r="I824" s="47"/>
      <c r="J824" s="47"/>
    </row>
    <row r="825">
      <c r="F825" s="41"/>
      <c r="I825" s="47"/>
      <c r="J825" s="47"/>
    </row>
    <row r="826">
      <c r="F826" s="41"/>
      <c r="I826" s="47"/>
      <c r="J826" s="47"/>
    </row>
    <row r="827">
      <c r="F827" s="41"/>
      <c r="I827" s="47"/>
      <c r="J827" s="47"/>
    </row>
    <row r="828">
      <c r="F828" s="41"/>
      <c r="I828" s="47"/>
      <c r="J828" s="47"/>
    </row>
    <row r="829">
      <c r="F829" s="41"/>
      <c r="I829" s="47"/>
      <c r="J829" s="47"/>
    </row>
    <row r="830">
      <c r="F830" s="41"/>
      <c r="I830" s="47"/>
      <c r="J830" s="47"/>
    </row>
    <row r="831">
      <c r="F831" s="41"/>
      <c r="I831" s="47"/>
      <c r="J831" s="47"/>
    </row>
    <row r="832">
      <c r="F832" s="41"/>
      <c r="I832" s="47"/>
      <c r="J832" s="47"/>
    </row>
    <row r="833">
      <c r="F833" s="41"/>
      <c r="I833" s="47"/>
      <c r="J833" s="47"/>
    </row>
    <row r="834">
      <c r="F834" s="41"/>
      <c r="I834" s="47"/>
      <c r="J834" s="47"/>
    </row>
    <row r="835">
      <c r="F835" s="41"/>
      <c r="I835" s="47"/>
      <c r="J835" s="47"/>
    </row>
    <row r="836">
      <c r="F836" s="41"/>
      <c r="I836" s="47"/>
      <c r="J836" s="47"/>
    </row>
    <row r="837">
      <c r="F837" s="41"/>
      <c r="I837" s="47"/>
      <c r="J837" s="47"/>
    </row>
    <row r="838">
      <c r="F838" s="41"/>
      <c r="I838" s="47"/>
      <c r="J838" s="47"/>
    </row>
    <row r="839">
      <c r="F839" s="41"/>
      <c r="I839" s="47"/>
      <c r="J839" s="47"/>
    </row>
    <row r="840">
      <c r="F840" s="41"/>
      <c r="I840" s="47"/>
      <c r="J840" s="47"/>
    </row>
    <row r="841">
      <c r="F841" s="41"/>
      <c r="I841" s="47"/>
      <c r="J841" s="47"/>
    </row>
    <row r="842">
      <c r="F842" s="41"/>
      <c r="I842" s="47"/>
      <c r="J842" s="47"/>
    </row>
    <row r="843">
      <c r="F843" s="41"/>
      <c r="I843" s="47"/>
      <c r="J843" s="47"/>
    </row>
    <row r="844">
      <c r="F844" s="41"/>
      <c r="I844" s="47"/>
      <c r="J844" s="47"/>
    </row>
    <row r="845">
      <c r="F845" s="41"/>
      <c r="I845" s="47"/>
      <c r="J845" s="47"/>
    </row>
    <row r="846">
      <c r="F846" s="41"/>
      <c r="I846" s="47"/>
      <c r="J846" s="47"/>
    </row>
    <row r="847">
      <c r="F847" s="41"/>
      <c r="I847" s="47"/>
      <c r="J847" s="47"/>
    </row>
    <row r="848">
      <c r="F848" s="41"/>
      <c r="I848" s="47"/>
      <c r="J848" s="47"/>
    </row>
    <row r="849">
      <c r="F849" s="41"/>
      <c r="I849" s="47"/>
      <c r="J849" s="47"/>
    </row>
    <row r="850">
      <c r="F850" s="41"/>
      <c r="I850" s="47"/>
      <c r="J850" s="47"/>
    </row>
    <row r="851">
      <c r="F851" s="41"/>
      <c r="I851" s="47"/>
      <c r="J851" s="47"/>
    </row>
    <row r="852">
      <c r="F852" s="41"/>
      <c r="I852" s="47"/>
      <c r="J852" s="47"/>
    </row>
    <row r="853">
      <c r="F853" s="41"/>
      <c r="I853" s="47"/>
      <c r="J853" s="47"/>
    </row>
    <row r="854">
      <c r="F854" s="41"/>
      <c r="I854" s="47"/>
      <c r="J854" s="47"/>
    </row>
    <row r="855">
      <c r="F855" s="41"/>
      <c r="I855" s="47"/>
      <c r="J855" s="47"/>
    </row>
    <row r="856">
      <c r="F856" s="41"/>
      <c r="I856" s="47"/>
      <c r="J856" s="47"/>
    </row>
    <row r="857">
      <c r="F857" s="41"/>
      <c r="I857" s="47"/>
      <c r="J857" s="47"/>
    </row>
    <row r="858">
      <c r="F858" s="41"/>
      <c r="I858" s="47"/>
      <c r="J858" s="47"/>
    </row>
    <row r="859">
      <c r="F859" s="41"/>
      <c r="I859" s="47"/>
      <c r="J859" s="47"/>
    </row>
    <row r="860">
      <c r="F860" s="41"/>
      <c r="I860" s="47"/>
      <c r="J860" s="47"/>
    </row>
    <row r="861">
      <c r="F861" s="41"/>
      <c r="I861" s="47"/>
      <c r="J861" s="47"/>
    </row>
    <row r="862">
      <c r="F862" s="41"/>
      <c r="I862" s="47"/>
      <c r="J862" s="47"/>
    </row>
    <row r="863">
      <c r="F863" s="41"/>
      <c r="I863" s="47"/>
      <c r="J863" s="47"/>
    </row>
    <row r="864">
      <c r="F864" s="41"/>
      <c r="I864" s="47"/>
      <c r="J864" s="47"/>
    </row>
    <row r="865">
      <c r="F865" s="41"/>
      <c r="I865" s="47"/>
      <c r="J865" s="47"/>
    </row>
    <row r="866">
      <c r="F866" s="41"/>
      <c r="I866" s="47"/>
      <c r="J866" s="47"/>
    </row>
    <row r="867">
      <c r="F867" s="41"/>
      <c r="I867" s="47"/>
      <c r="J867" s="47"/>
    </row>
    <row r="868">
      <c r="F868" s="41"/>
      <c r="I868" s="47"/>
      <c r="J868" s="47"/>
    </row>
    <row r="869">
      <c r="F869" s="41"/>
      <c r="I869" s="47"/>
      <c r="J869" s="47"/>
    </row>
    <row r="870">
      <c r="F870" s="41"/>
      <c r="I870" s="47"/>
      <c r="J870" s="47"/>
    </row>
    <row r="871">
      <c r="F871" s="41"/>
      <c r="I871" s="47"/>
      <c r="J871" s="47"/>
    </row>
    <row r="872">
      <c r="F872" s="41"/>
      <c r="I872" s="47"/>
      <c r="J872" s="47"/>
    </row>
    <row r="873">
      <c r="F873" s="41"/>
      <c r="I873" s="47"/>
      <c r="J873" s="47"/>
    </row>
    <row r="874">
      <c r="F874" s="41"/>
      <c r="I874" s="47"/>
      <c r="J874" s="47"/>
    </row>
    <row r="875">
      <c r="F875" s="41"/>
      <c r="I875" s="47"/>
      <c r="J875" s="47"/>
    </row>
    <row r="876">
      <c r="F876" s="41"/>
      <c r="I876" s="47"/>
      <c r="J876" s="47"/>
    </row>
    <row r="877">
      <c r="F877" s="41"/>
      <c r="I877" s="47"/>
      <c r="J877" s="47"/>
    </row>
    <row r="878">
      <c r="F878" s="41"/>
      <c r="I878" s="47"/>
      <c r="J878" s="47"/>
    </row>
    <row r="879">
      <c r="F879" s="41"/>
      <c r="I879" s="47"/>
      <c r="J879" s="47"/>
    </row>
    <row r="880">
      <c r="F880" s="41"/>
      <c r="I880" s="47"/>
      <c r="J880" s="47"/>
    </row>
    <row r="881">
      <c r="F881" s="41"/>
      <c r="I881" s="47"/>
      <c r="J881" s="47"/>
    </row>
    <row r="882">
      <c r="F882" s="41"/>
      <c r="I882" s="47"/>
      <c r="J882" s="47"/>
    </row>
    <row r="883">
      <c r="F883" s="41"/>
      <c r="I883" s="47"/>
      <c r="J883" s="47"/>
    </row>
    <row r="884">
      <c r="F884" s="41"/>
      <c r="I884" s="47"/>
      <c r="J884" s="47"/>
    </row>
    <row r="885">
      <c r="F885" s="41"/>
      <c r="I885" s="47"/>
      <c r="J885" s="47"/>
    </row>
    <row r="886">
      <c r="F886" s="41"/>
      <c r="I886" s="47"/>
      <c r="J886" s="47"/>
    </row>
    <row r="887">
      <c r="F887" s="41"/>
      <c r="I887" s="47"/>
      <c r="J887" s="47"/>
    </row>
    <row r="888">
      <c r="F888" s="41"/>
      <c r="I888" s="47"/>
      <c r="J888" s="47"/>
    </row>
    <row r="889">
      <c r="F889" s="41"/>
      <c r="I889" s="47"/>
      <c r="J889" s="47"/>
    </row>
    <row r="890">
      <c r="F890" s="41"/>
      <c r="I890" s="47"/>
      <c r="J890" s="47"/>
    </row>
    <row r="891">
      <c r="F891" s="41"/>
      <c r="I891" s="47"/>
      <c r="J891" s="47"/>
    </row>
    <row r="892">
      <c r="F892" s="41"/>
      <c r="I892" s="47"/>
      <c r="J892" s="47"/>
    </row>
    <row r="893">
      <c r="F893" s="41"/>
      <c r="I893" s="47"/>
      <c r="J893" s="47"/>
    </row>
    <row r="894">
      <c r="F894" s="41"/>
      <c r="I894" s="47"/>
      <c r="J894" s="47"/>
    </row>
    <row r="895">
      <c r="F895" s="41"/>
      <c r="I895" s="47"/>
      <c r="J895" s="47"/>
    </row>
    <row r="896">
      <c r="F896" s="41"/>
      <c r="I896" s="47"/>
      <c r="J896" s="47"/>
    </row>
    <row r="897">
      <c r="F897" s="41"/>
      <c r="I897" s="47"/>
      <c r="J897" s="47"/>
    </row>
    <row r="898">
      <c r="F898" s="41"/>
      <c r="I898" s="47"/>
      <c r="J898" s="47"/>
    </row>
    <row r="899">
      <c r="F899" s="41"/>
      <c r="I899" s="47"/>
      <c r="J899" s="47"/>
    </row>
    <row r="900">
      <c r="F900" s="41"/>
      <c r="I900" s="47"/>
      <c r="J900" s="47"/>
    </row>
    <row r="901">
      <c r="F901" s="41"/>
      <c r="I901" s="47"/>
      <c r="J901" s="47"/>
    </row>
    <row r="902">
      <c r="F902" s="41"/>
      <c r="I902" s="47"/>
      <c r="J902" s="47"/>
    </row>
    <row r="903">
      <c r="F903" s="41"/>
      <c r="I903" s="47"/>
      <c r="J903" s="47"/>
    </row>
    <row r="904">
      <c r="F904" s="41"/>
      <c r="I904" s="47"/>
      <c r="J904" s="47"/>
    </row>
    <row r="905">
      <c r="F905" s="41"/>
      <c r="I905" s="47"/>
      <c r="J905" s="47"/>
    </row>
    <row r="906">
      <c r="F906" s="41"/>
      <c r="I906" s="47"/>
      <c r="J906" s="47"/>
    </row>
    <row r="907">
      <c r="F907" s="41"/>
      <c r="I907" s="47"/>
      <c r="J907" s="47"/>
    </row>
    <row r="908">
      <c r="F908" s="41"/>
      <c r="I908" s="47"/>
      <c r="J908" s="47"/>
    </row>
    <row r="909">
      <c r="F909" s="41"/>
      <c r="I909" s="47"/>
      <c r="J909" s="47"/>
    </row>
    <row r="910">
      <c r="F910" s="41"/>
      <c r="I910" s="47"/>
      <c r="J910" s="47"/>
    </row>
    <row r="911">
      <c r="F911" s="41"/>
      <c r="I911" s="47"/>
      <c r="J911" s="47"/>
    </row>
    <row r="912">
      <c r="F912" s="41"/>
      <c r="I912" s="47"/>
      <c r="J912" s="47"/>
    </row>
    <row r="913">
      <c r="F913" s="41"/>
      <c r="I913" s="47"/>
      <c r="J913" s="47"/>
    </row>
    <row r="914">
      <c r="F914" s="41"/>
      <c r="I914" s="47"/>
      <c r="J914" s="47"/>
    </row>
    <row r="915">
      <c r="F915" s="41"/>
      <c r="I915" s="47"/>
      <c r="J915" s="47"/>
    </row>
    <row r="916">
      <c r="F916" s="41"/>
      <c r="I916" s="47"/>
      <c r="J916" s="47"/>
    </row>
    <row r="917">
      <c r="F917" s="41"/>
      <c r="I917" s="47"/>
      <c r="J917" s="47"/>
    </row>
    <row r="918">
      <c r="F918" s="41"/>
      <c r="I918" s="47"/>
      <c r="J918" s="47"/>
    </row>
    <row r="919">
      <c r="F919" s="41"/>
      <c r="I919" s="47"/>
      <c r="J919" s="47"/>
    </row>
    <row r="920">
      <c r="F920" s="41"/>
      <c r="I920" s="47"/>
      <c r="J920" s="47"/>
    </row>
    <row r="921">
      <c r="F921" s="41"/>
      <c r="I921" s="47"/>
      <c r="J921" s="47"/>
    </row>
    <row r="922">
      <c r="F922" s="41"/>
      <c r="I922" s="47"/>
      <c r="J922" s="47"/>
    </row>
    <row r="923">
      <c r="F923" s="41"/>
      <c r="I923" s="47"/>
      <c r="J923" s="47"/>
    </row>
    <row r="924">
      <c r="F924" s="41"/>
      <c r="I924" s="47"/>
      <c r="J924" s="47"/>
    </row>
    <row r="925">
      <c r="F925" s="41"/>
      <c r="I925" s="47"/>
      <c r="J925" s="47"/>
    </row>
    <row r="926">
      <c r="F926" s="41"/>
      <c r="I926" s="47"/>
      <c r="J926" s="47"/>
    </row>
    <row r="927">
      <c r="F927" s="41"/>
      <c r="I927" s="47"/>
      <c r="J927" s="47"/>
    </row>
    <row r="928">
      <c r="F928" s="41"/>
      <c r="I928" s="47"/>
      <c r="J928" s="47"/>
    </row>
    <row r="929">
      <c r="F929" s="41"/>
      <c r="I929" s="47"/>
      <c r="J929" s="47"/>
    </row>
    <row r="930">
      <c r="F930" s="41"/>
      <c r="I930" s="47"/>
      <c r="J930" s="47"/>
    </row>
    <row r="931">
      <c r="F931" s="41"/>
      <c r="I931" s="47"/>
      <c r="J931" s="47"/>
    </row>
    <row r="932">
      <c r="F932" s="41"/>
      <c r="I932" s="47"/>
      <c r="J932" s="47"/>
    </row>
    <row r="933">
      <c r="F933" s="41"/>
      <c r="I933" s="47"/>
      <c r="J933" s="47"/>
    </row>
    <row r="934">
      <c r="F934" s="41"/>
      <c r="I934" s="47"/>
      <c r="J934" s="47"/>
    </row>
    <row r="935">
      <c r="F935" s="41"/>
      <c r="I935" s="47"/>
      <c r="J935" s="47"/>
    </row>
    <row r="936">
      <c r="F936" s="41"/>
      <c r="I936" s="47"/>
      <c r="J936" s="47"/>
    </row>
    <row r="937">
      <c r="F937" s="41"/>
      <c r="I937" s="47"/>
      <c r="J937" s="47"/>
    </row>
    <row r="938">
      <c r="F938" s="41"/>
      <c r="I938" s="47"/>
      <c r="J938" s="47"/>
    </row>
    <row r="939">
      <c r="F939" s="41"/>
      <c r="I939" s="47"/>
      <c r="J939" s="47"/>
    </row>
    <row r="940">
      <c r="F940" s="41"/>
      <c r="I940" s="47"/>
      <c r="J940" s="47"/>
    </row>
    <row r="941">
      <c r="F941" s="41"/>
      <c r="I941" s="47"/>
      <c r="J941" s="47"/>
    </row>
    <row r="942">
      <c r="F942" s="41"/>
      <c r="I942" s="47"/>
      <c r="J942" s="47"/>
    </row>
    <row r="943">
      <c r="F943" s="41"/>
      <c r="I943" s="47"/>
      <c r="J943" s="47"/>
    </row>
    <row r="944">
      <c r="F944" s="41"/>
      <c r="I944" s="47"/>
      <c r="J944" s="47"/>
    </row>
    <row r="945">
      <c r="F945" s="41"/>
      <c r="I945" s="47"/>
      <c r="J945" s="47"/>
    </row>
    <row r="946">
      <c r="F946" s="41"/>
      <c r="I946" s="47"/>
      <c r="J946" s="47"/>
    </row>
    <row r="947">
      <c r="F947" s="41"/>
      <c r="I947" s="47"/>
      <c r="J947" s="47"/>
    </row>
    <row r="948">
      <c r="F948" s="41"/>
      <c r="I948" s="47"/>
      <c r="J948" s="47"/>
    </row>
    <row r="949">
      <c r="F949" s="41"/>
      <c r="I949" s="47"/>
      <c r="J949" s="47"/>
    </row>
    <row r="950">
      <c r="F950" s="41"/>
      <c r="I950" s="47"/>
      <c r="J950" s="47"/>
    </row>
    <row r="951">
      <c r="F951" s="41"/>
      <c r="I951" s="47"/>
      <c r="J951" s="47"/>
    </row>
    <row r="952">
      <c r="F952" s="41"/>
      <c r="I952" s="47"/>
      <c r="J952" s="47"/>
    </row>
    <row r="953">
      <c r="F953" s="41"/>
      <c r="I953" s="47"/>
      <c r="J953" s="47"/>
    </row>
    <row r="954">
      <c r="F954" s="41"/>
      <c r="I954" s="47"/>
      <c r="J954" s="47"/>
    </row>
    <row r="955">
      <c r="F955" s="41"/>
      <c r="I955" s="47"/>
      <c r="J955" s="47"/>
    </row>
    <row r="956">
      <c r="F956" s="41"/>
      <c r="I956" s="47"/>
      <c r="J956" s="47"/>
    </row>
    <row r="957">
      <c r="F957" s="41"/>
      <c r="I957" s="47"/>
      <c r="J957" s="47"/>
    </row>
    <row r="958">
      <c r="F958" s="41"/>
      <c r="I958" s="47"/>
      <c r="J958" s="47"/>
    </row>
    <row r="959">
      <c r="F959" s="41"/>
      <c r="I959" s="47"/>
      <c r="J959" s="47"/>
    </row>
    <row r="960">
      <c r="F960" s="41"/>
      <c r="I960" s="47"/>
      <c r="J960" s="47"/>
    </row>
    <row r="961">
      <c r="F961" s="41"/>
      <c r="I961" s="47"/>
      <c r="J961" s="47"/>
    </row>
    <row r="962">
      <c r="F962" s="41"/>
      <c r="I962" s="47"/>
      <c r="J962" s="47"/>
    </row>
    <row r="963">
      <c r="F963" s="41"/>
      <c r="I963" s="47"/>
      <c r="J963" s="47"/>
    </row>
    <row r="964">
      <c r="F964" s="41"/>
      <c r="I964" s="47"/>
      <c r="J964" s="47"/>
    </row>
    <row r="965">
      <c r="F965" s="41"/>
      <c r="I965" s="47"/>
      <c r="J965" s="47"/>
    </row>
    <row r="966">
      <c r="F966" s="41"/>
      <c r="I966" s="47"/>
      <c r="J966" s="47"/>
    </row>
    <row r="967">
      <c r="F967" s="41"/>
      <c r="I967" s="47"/>
      <c r="J967" s="47"/>
    </row>
    <row r="968">
      <c r="F968" s="41"/>
      <c r="I968" s="47"/>
      <c r="J968" s="47"/>
    </row>
    <row r="969">
      <c r="F969" s="41"/>
      <c r="I969" s="47"/>
      <c r="J969" s="47"/>
    </row>
    <row r="970">
      <c r="F970" s="41"/>
      <c r="I970" s="47"/>
      <c r="J970" s="47"/>
    </row>
    <row r="971">
      <c r="F971" s="41"/>
      <c r="I971" s="47"/>
      <c r="J971" s="47"/>
    </row>
    <row r="972">
      <c r="F972" s="41"/>
      <c r="I972" s="47"/>
      <c r="J972" s="47"/>
    </row>
    <row r="973">
      <c r="F973" s="41"/>
      <c r="I973" s="47"/>
      <c r="J973" s="47"/>
    </row>
    <row r="974">
      <c r="F974" s="41"/>
      <c r="I974" s="47"/>
      <c r="J974" s="47"/>
    </row>
    <row r="975">
      <c r="F975" s="41"/>
      <c r="I975" s="47"/>
      <c r="J975" s="47"/>
    </row>
    <row r="976">
      <c r="F976" s="41"/>
      <c r="I976" s="47"/>
      <c r="J976" s="47"/>
    </row>
    <row r="977">
      <c r="F977" s="41"/>
      <c r="I977" s="47"/>
      <c r="J977" s="47"/>
    </row>
    <row r="978">
      <c r="F978" s="41"/>
      <c r="I978" s="47"/>
      <c r="J978" s="47"/>
    </row>
    <row r="979">
      <c r="F979" s="41"/>
      <c r="I979" s="47"/>
      <c r="J979" s="47"/>
    </row>
    <row r="980">
      <c r="F980" s="41"/>
      <c r="I980" s="47"/>
      <c r="J980" s="47"/>
    </row>
    <row r="981">
      <c r="F981" s="41"/>
      <c r="I981" s="47"/>
      <c r="J981" s="47"/>
    </row>
    <row r="982">
      <c r="F982" s="41"/>
      <c r="I982" s="47"/>
      <c r="J982" s="47"/>
    </row>
    <row r="983">
      <c r="F983" s="41"/>
      <c r="I983" s="47"/>
      <c r="J983" s="47"/>
    </row>
    <row r="984">
      <c r="F984" s="41"/>
      <c r="I984" s="47"/>
      <c r="J984" s="47"/>
    </row>
    <row r="985">
      <c r="F985" s="41"/>
      <c r="I985" s="47"/>
      <c r="J985" s="47"/>
    </row>
    <row r="986">
      <c r="F986" s="41"/>
      <c r="I986" s="47"/>
      <c r="J986" s="47"/>
    </row>
    <row r="987">
      <c r="F987" s="41"/>
      <c r="I987" s="47"/>
      <c r="J987" s="47"/>
    </row>
    <row r="988">
      <c r="F988" s="41"/>
      <c r="I988" s="47"/>
      <c r="J988" s="47"/>
    </row>
    <row r="989">
      <c r="F989" s="41"/>
      <c r="I989" s="47"/>
      <c r="J989" s="47"/>
    </row>
    <row r="990">
      <c r="F990" s="41"/>
      <c r="I990" s="47"/>
      <c r="J990" s="47"/>
    </row>
    <row r="991">
      <c r="F991" s="41"/>
      <c r="I991" s="47"/>
      <c r="J991" s="47"/>
    </row>
    <row r="992">
      <c r="F992" s="41"/>
      <c r="I992" s="47"/>
      <c r="J992" s="47"/>
    </row>
    <row r="993">
      <c r="F993" s="41"/>
      <c r="I993" s="47"/>
      <c r="J993" s="47"/>
    </row>
    <row r="994">
      <c r="F994" s="41"/>
      <c r="I994" s="47"/>
      <c r="J994" s="47"/>
    </row>
    <row r="995">
      <c r="F995" s="41"/>
      <c r="I995" s="47"/>
      <c r="J995" s="47"/>
    </row>
    <row r="996">
      <c r="F996" s="41"/>
      <c r="I996" s="47"/>
      <c r="J996" s="47"/>
    </row>
    <row r="997">
      <c r="F997" s="41"/>
      <c r="I997" s="47"/>
      <c r="J997" s="47"/>
    </row>
    <row r="998">
      <c r="F998" s="41"/>
      <c r="I998" s="47"/>
      <c r="J998" s="47"/>
    </row>
    <row r="999">
      <c r="F999" s="41"/>
      <c r="I999" s="47"/>
      <c r="J999" s="47"/>
    </row>
    <row r="1000">
      <c r="F1000" s="41"/>
      <c r="I1000" s="47"/>
      <c r="J1000" s="47"/>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3"/>
    <hyperlink r:id="rId12" ref="J14"/>
    <hyperlink r:id="rId13" ref="J16"/>
    <hyperlink r:id="rId14" ref="J17"/>
    <hyperlink r:id="rId15" ref="J18"/>
    <hyperlink r:id="rId16" ref="J19"/>
    <hyperlink r:id="rId17" ref="J20"/>
    <hyperlink r:id="rId18" ref="J22"/>
    <hyperlink r:id="rId19" ref="J23"/>
    <hyperlink r:id="rId20" ref="J24"/>
    <hyperlink r:id="rId21" ref="J25"/>
    <hyperlink r:id="rId22" ref="J27"/>
    <hyperlink r:id="rId23" ref="J28"/>
    <hyperlink r:id="rId24" ref="J29"/>
    <hyperlink r:id="rId25" ref="J31"/>
    <hyperlink r:id="rId26" ref="J32"/>
    <hyperlink r:id="rId27" ref="J35"/>
    <hyperlink r:id="rId28" ref="J36"/>
    <hyperlink r:id="rId29" ref="J37"/>
    <hyperlink r:id="rId30" ref="J38"/>
    <hyperlink r:id="rId31" ref="J39"/>
    <hyperlink r:id="rId32" ref="J40"/>
    <hyperlink r:id="rId33" ref="J41"/>
    <hyperlink r:id="rId34" ref="J42"/>
    <hyperlink r:id="rId35" ref="J43"/>
    <hyperlink r:id="rId36" ref="J44"/>
    <hyperlink r:id="rId37" ref="J45"/>
    <hyperlink r:id="rId38" ref="J54"/>
    <hyperlink r:id="rId39" ref="J55"/>
    <hyperlink r:id="rId40" ref="J60"/>
    <hyperlink r:id="rId41" ref="J61"/>
    <hyperlink r:id="rId42" ref="J63"/>
    <hyperlink r:id="rId43" ref="J64"/>
    <hyperlink r:id="rId44" ref="J65"/>
    <hyperlink r:id="rId45" ref="J67"/>
    <hyperlink r:id="rId46" ref="J69"/>
    <hyperlink r:id="rId47" ref="J70"/>
    <hyperlink r:id="rId48" ref="J71"/>
    <hyperlink r:id="rId49" ref="J72"/>
    <hyperlink r:id="rId50" ref="J73"/>
    <hyperlink r:id="rId51" ref="J74"/>
    <hyperlink r:id="rId52" ref="J75"/>
    <hyperlink r:id="rId53" ref="J76"/>
    <hyperlink r:id="rId54" ref="J78"/>
    <hyperlink r:id="rId55" ref="J80"/>
    <hyperlink r:id="rId56" ref="J85"/>
    <hyperlink r:id="rId57" ref="J87"/>
    <hyperlink r:id="rId58" ref="J88"/>
    <hyperlink r:id="rId59" ref="J89"/>
    <hyperlink r:id="rId60" ref="J90"/>
    <hyperlink r:id="rId61" ref="J91"/>
    <hyperlink r:id="rId62" ref="J92"/>
    <hyperlink r:id="rId63" ref="J93"/>
    <hyperlink r:id="rId64" ref="J94"/>
    <hyperlink r:id="rId65" ref="J99"/>
    <hyperlink r:id="rId66" ref="J100"/>
    <hyperlink r:id="rId67" ref="J103"/>
    <hyperlink r:id="rId68" ref="J105"/>
    <hyperlink r:id="rId69" ref="J107"/>
    <hyperlink r:id="rId70" ref="J109"/>
    <hyperlink r:id="rId71" ref="J110"/>
    <hyperlink r:id="rId72" ref="J111"/>
    <hyperlink r:id="rId73" ref="J113"/>
    <hyperlink r:id="rId74" ref="J114"/>
    <hyperlink r:id="rId75" ref="J115"/>
    <hyperlink r:id="rId76" ref="J116"/>
    <hyperlink r:id="rId77" ref="J119"/>
    <hyperlink r:id="rId78" ref="J120"/>
    <hyperlink r:id="rId79" ref="J121"/>
    <hyperlink r:id="rId80" ref="J123"/>
    <hyperlink r:id="rId81" ref="J126"/>
    <hyperlink r:id="rId82" ref="J127"/>
    <hyperlink r:id="rId83" ref="J128"/>
    <hyperlink r:id="rId84" ref="J130"/>
    <hyperlink r:id="rId85" ref="J131"/>
    <hyperlink r:id="rId86" ref="J133"/>
    <hyperlink r:id="rId87" ref="J134"/>
    <hyperlink r:id="rId88" ref="J135"/>
    <hyperlink r:id="rId89" ref="J136"/>
    <hyperlink r:id="rId90" ref="J137"/>
    <hyperlink r:id="rId91" ref="J139"/>
    <hyperlink r:id="rId92" ref="J140"/>
    <hyperlink r:id="rId93" ref="J141"/>
    <hyperlink r:id="rId94" ref="J143"/>
    <hyperlink r:id="rId95" ref="J144"/>
    <hyperlink r:id="rId96" ref="J145"/>
    <hyperlink r:id="rId97" ref="J146"/>
    <hyperlink r:id="rId98" ref="J149"/>
    <hyperlink r:id="rId99" ref="J150"/>
    <hyperlink r:id="rId100" ref="J151"/>
    <hyperlink r:id="rId101" ref="J152"/>
    <hyperlink r:id="rId102" ref="J154"/>
    <hyperlink r:id="rId103" ref="J156"/>
    <hyperlink r:id="rId104" ref="J158"/>
    <hyperlink r:id="rId105" ref="J159"/>
    <hyperlink r:id="rId106" ref="J160"/>
    <hyperlink r:id="rId107" ref="J162"/>
    <hyperlink r:id="rId108" ref="J163"/>
    <hyperlink r:id="rId109" ref="J164"/>
    <hyperlink r:id="rId110" ref="J165"/>
    <hyperlink r:id="rId111" ref="J166"/>
    <hyperlink r:id="rId112" ref="J169"/>
    <hyperlink r:id="rId113" ref="J170"/>
  </hyperlinks>
  <drawing r:id="rId1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2.0"/>
    <col customWidth="1" min="5" max="5" width="19.0"/>
    <col customWidth="1" min="7" max="7" width="45.75"/>
    <col customWidth="1" min="8" max="8" width="30.38"/>
    <col customWidth="1" min="9" max="9" width="40.75"/>
  </cols>
  <sheetData>
    <row r="1">
      <c r="A1" s="60" t="s">
        <v>36</v>
      </c>
      <c r="B1" s="60" t="s">
        <v>509</v>
      </c>
      <c r="C1" s="60" t="s">
        <v>510</v>
      </c>
      <c r="D1" s="60" t="s">
        <v>945</v>
      </c>
      <c r="E1" s="60" t="s">
        <v>511</v>
      </c>
      <c r="F1" s="60" t="s">
        <v>946</v>
      </c>
      <c r="G1" s="60" t="s">
        <v>42</v>
      </c>
      <c r="H1" s="60" t="s">
        <v>947</v>
      </c>
      <c r="I1" s="61"/>
      <c r="J1" s="62"/>
      <c r="K1" s="62"/>
      <c r="L1" s="62"/>
      <c r="M1" s="62"/>
      <c r="N1" s="62"/>
      <c r="O1" s="62"/>
      <c r="P1" s="62"/>
      <c r="Q1" s="62"/>
      <c r="R1" s="62"/>
      <c r="S1" s="62"/>
      <c r="T1" s="62"/>
      <c r="U1" s="62"/>
      <c r="V1" s="62"/>
      <c r="W1" s="62"/>
      <c r="X1" s="62"/>
      <c r="Y1" s="62"/>
      <c r="Z1" s="62"/>
    </row>
    <row r="2">
      <c r="A2" s="18" t="s">
        <v>555</v>
      </c>
      <c r="B2" s="63">
        <v>46161.0</v>
      </c>
      <c r="C2" s="20">
        <v>0.3819444444444444</v>
      </c>
      <c r="D2" s="18">
        <v>9.0</v>
      </c>
      <c r="E2" s="18" t="s">
        <v>948</v>
      </c>
      <c r="F2" s="18">
        <v>1.0</v>
      </c>
      <c r="H2" s="18" t="s">
        <v>949</v>
      </c>
      <c r="I2" s="47"/>
    </row>
    <row r="3">
      <c r="E3" s="18" t="s">
        <v>950</v>
      </c>
      <c r="F3" s="18">
        <v>4.0</v>
      </c>
      <c r="I3" s="47"/>
    </row>
    <row r="4">
      <c r="E4" s="18" t="s">
        <v>951</v>
      </c>
      <c r="F4" s="18">
        <v>2.0</v>
      </c>
      <c r="I4" s="47"/>
    </row>
    <row r="5">
      <c r="E5" s="18" t="s">
        <v>952</v>
      </c>
      <c r="F5" s="18">
        <v>1.0</v>
      </c>
      <c r="G5" s="18" t="s">
        <v>953</v>
      </c>
      <c r="I5" s="47"/>
    </row>
    <row r="6">
      <c r="E6" s="18" t="s">
        <v>954</v>
      </c>
      <c r="F6" s="18">
        <v>1.0</v>
      </c>
      <c r="G6" s="18" t="s">
        <v>955</v>
      </c>
      <c r="I6" s="47"/>
    </row>
    <row r="7">
      <c r="E7" s="18" t="s">
        <v>956</v>
      </c>
      <c r="F7" s="18">
        <v>2.0</v>
      </c>
      <c r="I7" s="47"/>
    </row>
    <row r="8">
      <c r="E8" s="18" t="s">
        <v>957</v>
      </c>
      <c r="F8" s="18">
        <v>3.0</v>
      </c>
      <c r="I8" s="47"/>
    </row>
    <row r="9">
      <c r="E9" s="18" t="s">
        <v>958</v>
      </c>
      <c r="F9" s="18">
        <v>1.0</v>
      </c>
      <c r="I9" s="47"/>
    </row>
    <row r="10">
      <c r="E10" s="18" t="s">
        <v>959</v>
      </c>
      <c r="F10" s="18">
        <v>3.0</v>
      </c>
      <c r="I10" s="47"/>
    </row>
    <row r="11">
      <c r="A11" s="21" t="s">
        <v>960</v>
      </c>
      <c r="B11" s="64">
        <v>46161.0</v>
      </c>
      <c r="C11" s="23">
        <v>0.4215277777777778</v>
      </c>
      <c r="D11" s="21">
        <v>8.0</v>
      </c>
      <c r="E11" s="21" t="s">
        <v>950</v>
      </c>
      <c r="F11" s="21">
        <v>6.0</v>
      </c>
      <c r="G11" s="24"/>
      <c r="H11" s="21" t="s">
        <v>961</v>
      </c>
      <c r="I11" s="50"/>
      <c r="J11" s="24"/>
      <c r="K11" s="24"/>
      <c r="L11" s="24"/>
      <c r="M11" s="24"/>
      <c r="N11" s="24"/>
      <c r="O11" s="24"/>
      <c r="P11" s="24"/>
      <c r="Q11" s="24"/>
      <c r="R11" s="24"/>
      <c r="S11" s="24"/>
      <c r="T11" s="24"/>
      <c r="U11" s="24"/>
      <c r="V11" s="24"/>
      <c r="W11" s="24"/>
      <c r="X11" s="24"/>
      <c r="Y11" s="24"/>
      <c r="Z11" s="24"/>
    </row>
    <row r="12">
      <c r="A12" s="24"/>
      <c r="B12" s="24"/>
      <c r="C12" s="24"/>
      <c r="D12" s="24"/>
      <c r="E12" s="21" t="s">
        <v>954</v>
      </c>
      <c r="F12" s="21">
        <v>2.0</v>
      </c>
      <c r="G12" s="24"/>
      <c r="H12" s="24"/>
      <c r="I12" s="50"/>
      <c r="J12" s="24"/>
      <c r="K12" s="24"/>
      <c r="L12" s="24"/>
      <c r="M12" s="24"/>
      <c r="N12" s="24"/>
      <c r="O12" s="24"/>
      <c r="P12" s="24"/>
      <c r="Q12" s="24"/>
      <c r="R12" s="24"/>
      <c r="S12" s="24"/>
      <c r="T12" s="24"/>
      <c r="U12" s="24"/>
      <c r="V12" s="24"/>
      <c r="W12" s="24"/>
      <c r="X12" s="24"/>
      <c r="Y12" s="24"/>
      <c r="Z12" s="24"/>
    </row>
    <row r="13">
      <c r="A13" s="24"/>
      <c r="B13" s="24"/>
      <c r="C13" s="24"/>
      <c r="D13" s="24"/>
      <c r="E13" s="21" t="s">
        <v>951</v>
      </c>
      <c r="F13" s="21">
        <v>6.0</v>
      </c>
      <c r="G13" s="24"/>
      <c r="H13" s="24"/>
      <c r="I13" s="50"/>
      <c r="J13" s="24"/>
      <c r="K13" s="24"/>
      <c r="L13" s="24"/>
      <c r="M13" s="24"/>
      <c r="N13" s="24"/>
      <c r="O13" s="24"/>
      <c r="P13" s="24"/>
      <c r="Q13" s="24"/>
      <c r="R13" s="24"/>
      <c r="S13" s="24"/>
      <c r="T13" s="24"/>
      <c r="U13" s="24"/>
      <c r="V13" s="24"/>
      <c r="W13" s="24"/>
      <c r="X13" s="24"/>
      <c r="Y13" s="24"/>
      <c r="Z13" s="24"/>
    </row>
    <row r="14">
      <c r="A14" s="24"/>
      <c r="B14" s="24"/>
      <c r="C14" s="24"/>
      <c r="D14" s="24"/>
      <c r="E14" s="21" t="s">
        <v>956</v>
      </c>
      <c r="F14" s="21">
        <v>2.0</v>
      </c>
      <c r="G14" s="21" t="s">
        <v>955</v>
      </c>
      <c r="H14" s="24"/>
      <c r="I14" s="50"/>
      <c r="J14" s="24"/>
      <c r="K14" s="24"/>
      <c r="L14" s="24"/>
      <c r="M14" s="24"/>
      <c r="N14" s="24"/>
      <c r="O14" s="24"/>
      <c r="P14" s="24"/>
      <c r="Q14" s="24"/>
      <c r="R14" s="24"/>
      <c r="S14" s="24"/>
      <c r="T14" s="24"/>
      <c r="U14" s="24"/>
      <c r="V14" s="24"/>
      <c r="W14" s="24"/>
      <c r="X14" s="24"/>
      <c r="Y14" s="24"/>
      <c r="Z14" s="24"/>
    </row>
    <row r="15">
      <c r="A15" s="24"/>
      <c r="B15" s="24"/>
      <c r="C15" s="24"/>
      <c r="D15" s="24"/>
      <c r="E15" s="21" t="s">
        <v>952</v>
      </c>
      <c r="F15" s="21">
        <v>1.0</v>
      </c>
      <c r="G15" s="24"/>
      <c r="H15" s="24"/>
      <c r="I15" s="50"/>
      <c r="J15" s="24"/>
      <c r="K15" s="24"/>
      <c r="L15" s="24"/>
      <c r="M15" s="24"/>
      <c r="N15" s="24"/>
      <c r="O15" s="24"/>
      <c r="P15" s="24"/>
      <c r="Q15" s="24"/>
      <c r="R15" s="24"/>
      <c r="S15" s="24"/>
      <c r="T15" s="24"/>
      <c r="U15" s="24"/>
      <c r="V15" s="24"/>
      <c r="W15" s="24"/>
      <c r="X15" s="24"/>
      <c r="Y15" s="24"/>
      <c r="Z15" s="24"/>
    </row>
    <row r="16">
      <c r="A16" s="24"/>
      <c r="B16" s="24"/>
      <c r="C16" s="24"/>
      <c r="D16" s="24"/>
      <c r="E16" s="21" t="s">
        <v>962</v>
      </c>
      <c r="F16" s="21">
        <v>1.0</v>
      </c>
      <c r="G16" s="24"/>
      <c r="H16" s="24"/>
      <c r="I16" s="50"/>
      <c r="J16" s="24"/>
      <c r="K16" s="24"/>
      <c r="L16" s="24"/>
      <c r="M16" s="24"/>
      <c r="N16" s="24"/>
      <c r="O16" s="24"/>
      <c r="P16" s="24"/>
      <c r="Q16" s="24"/>
      <c r="R16" s="24"/>
      <c r="S16" s="24"/>
      <c r="T16" s="24"/>
      <c r="U16" s="24"/>
      <c r="V16" s="24"/>
      <c r="W16" s="24"/>
      <c r="X16" s="24"/>
      <c r="Y16" s="24"/>
      <c r="Z16" s="24"/>
    </row>
    <row r="17">
      <c r="A17" s="24"/>
      <c r="B17" s="24"/>
      <c r="C17" s="24"/>
      <c r="D17" s="24"/>
      <c r="E17" s="21" t="s">
        <v>963</v>
      </c>
      <c r="F17" s="21">
        <v>1.0</v>
      </c>
      <c r="G17" s="24"/>
      <c r="H17" s="24"/>
      <c r="I17" s="50"/>
      <c r="J17" s="24"/>
      <c r="K17" s="24"/>
      <c r="L17" s="24"/>
      <c r="M17" s="24"/>
      <c r="N17" s="24"/>
      <c r="O17" s="24"/>
      <c r="P17" s="24"/>
      <c r="Q17" s="24"/>
      <c r="R17" s="24"/>
      <c r="S17" s="24"/>
      <c r="T17" s="24"/>
      <c r="U17" s="24"/>
      <c r="V17" s="24"/>
      <c r="W17" s="24"/>
      <c r="X17" s="24"/>
      <c r="Y17" s="24"/>
      <c r="Z17" s="24"/>
    </row>
    <row r="18">
      <c r="A18" s="24"/>
      <c r="B18" s="24"/>
      <c r="C18" s="24"/>
      <c r="D18" s="24"/>
      <c r="E18" s="21" t="s">
        <v>958</v>
      </c>
      <c r="F18" s="21">
        <v>1.0</v>
      </c>
      <c r="G18" s="24"/>
      <c r="H18" s="24"/>
      <c r="I18" s="50"/>
      <c r="J18" s="24"/>
      <c r="K18" s="24"/>
      <c r="L18" s="24"/>
      <c r="M18" s="24"/>
      <c r="N18" s="24"/>
      <c r="O18" s="24"/>
      <c r="P18" s="24"/>
      <c r="Q18" s="24"/>
      <c r="R18" s="24"/>
      <c r="S18" s="24"/>
      <c r="T18" s="24"/>
      <c r="U18" s="24"/>
      <c r="V18" s="24"/>
      <c r="W18" s="24"/>
      <c r="X18" s="24"/>
      <c r="Y18" s="24"/>
      <c r="Z18" s="24"/>
    </row>
    <row r="19">
      <c r="A19" s="18" t="s">
        <v>572</v>
      </c>
      <c r="B19" s="63">
        <v>46161.0</v>
      </c>
      <c r="C19" s="20">
        <v>0.46458333333333335</v>
      </c>
      <c r="D19" s="18">
        <v>4.0</v>
      </c>
      <c r="E19" s="18" t="s">
        <v>964</v>
      </c>
      <c r="F19" s="18">
        <v>4.0</v>
      </c>
      <c r="G19" s="18" t="s">
        <v>965</v>
      </c>
      <c r="H19" s="18" t="s">
        <v>966</v>
      </c>
      <c r="I19" s="47"/>
    </row>
    <row r="20">
      <c r="E20" s="18" t="s">
        <v>951</v>
      </c>
      <c r="F20" s="18">
        <v>3.0</v>
      </c>
      <c r="H20" s="18" t="s">
        <v>967</v>
      </c>
      <c r="I20" s="47"/>
    </row>
    <row r="21">
      <c r="E21" s="18" t="s">
        <v>959</v>
      </c>
      <c r="F21" s="18">
        <v>3.0</v>
      </c>
      <c r="H21" s="18" t="s">
        <v>968</v>
      </c>
      <c r="I21" s="47"/>
    </row>
    <row r="22">
      <c r="E22" s="18" t="s">
        <v>957</v>
      </c>
      <c r="F22" s="18">
        <v>1.0</v>
      </c>
      <c r="G22" s="18" t="s">
        <v>969</v>
      </c>
      <c r="I22" s="47"/>
    </row>
    <row r="23">
      <c r="A23" s="21" t="s">
        <v>149</v>
      </c>
      <c r="B23" s="22">
        <v>46175.0</v>
      </c>
      <c r="C23" s="23">
        <v>0.36944444444444446</v>
      </c>
      <c r="D23" s="24"/>
      <c r="E23" s="21" t="s">
        <v>950</v>
      </c>
      <c r="F23" s="21">
        <v>6.0</v>
      </c>
      <c r="G23" s="24"/>
      <c r="H23" s="24"/>
      <c r="I23" s="50"/>
      <c r="J23" s="24"/>
      <c r="K23" s="24"/>
      <c r="L23" s="24"/>
      <c r="M23" s="24"/>
      <c r="N23" s="24"/>
      <c r="O23" s="24"/>
      <c r="P23" s="24"/>
      <c r="Q23" s="24"/>
      <c r="R23" s="24"/>
      <c r="S23" s="24"/>
      <c r="T23" s="24"/>
      <c r="U23" s="24"/>
      <c r="V23" s="24"/>
      <c r="W23" s="24"/>
      <c r="X23" s="24"/>
      <c r="Y23" s="24"/>
      <c r="Z23" s="24"/>
    </row>
    <row r="24">
      <c r="A24" s="24"/>
      <c r="B24" s="24"/>
      <c r="C24" s="24"/>
      <c r="D24" s="24"/>
      <c r="E24" s="21" t="s">
        <v>952</v>
      </c>
      <c r="F24" s="21">
        <v>2.0</v>
      </c>
      <c r="G24" s="21" t="s">
        <v>970</v>
      </c>
      <c r="H24" s="24"/>
      <c r="I24" s="50"/>
      <c r="J24" s="24"/>
      <c r="K24" s="24"/>
      <c r="L24" s="24"/>
      <c r="M24" s="24"/>
      <c r="N24" s="24"/>
      <c r="O24" s="24"/>
      <c r="P24" s="24"/>
      <c r="Q24" s="24"/>
      <c r="R24" s="24"/>
      <c r="S24" s="24"/>
      <c r="T24" s="24"/>
      <c r="U24" s="24"/>
      <c r="V24" s="24"/>
      <c r="W24" s="24"/>
      <c r="X24" s="24"/>
      <c r="Y24" s="24"/>
      <c r="Z24" s="24"/>
    </row>
    <row r="25">
      <c r="A25" s="24"/>
      <c r="B25" s="24"/>
      <c r="C25" s="24"/>
      <c r="D25" s="24"/>
      <c r="E25" s="21" t="s">
        <v>971</v>
      </c>
      <c r="F25" s="21">
        <v>1.0</v>
      </c>
      <c r="G25" s="21" t="s">
        <v>955</v>
      </c>
      <c r="H25" s="24"/>
      <c r="I25" s="50"/>
      <c r="J25" s="24"/>
      <c r="K25" s="24"/>
      <c r="L25" s="24"/>
      <c r="M25" s="24"/>
      <c r="N25" s="24"/>
      <c r="O25" s="24"/>
      <c r="P25" s="24"/>
      <c r="Q25" s="24"/>
      <c r="R25" s="24"/>
      <c r="S25" s="24"/>
      <c r="T25" s="24"/>
      <c r="U25" s="24"/>
      <c r="V25" s="24"/>
      <c r="W25" s="24"/>
      <c r="X25" s="24"/>
      <c r="Y25" s="24"/>
      <c r="Z25" s="24"/>
    </row>
    <row r="26">
      <c r="A26" s="24"/>
      <c r="B26" s="24"/>
      <c r="C26" s="24"/>
      <c r="D26" s="24"/>
      <c r="E26" s="21" t="s">
        <v>959</v>
      </c>
      <c r="F26" s="21">
        <v>2.0</v>
      </c>
      <c r="G26" s="24"/>
      <c r="H26" s="24"/>
      <c r="I26" s="50"/>
      <c r="J26" s="24"/>
      <c r="K26" s="24"/>
      <c r="L26" s="24"/>
      <c r="M26" s="24"/>
      <c r="N26" s="24"/>
      <c r="O26" s="24"/>
      <c r="P26" s="24"/>
      <c r="Q26" s="24"/>
      <c r="R26" s="24"/>
      <c r="S26" s="24"/>
      <c r="T26" s="24"/>
      <c r="U26" s="24"/>
      <c r="V26" s="24"/>
      <c r="W26" s="24"/>
      <c r="X26" s="24"/>
      <c r="Y26" s="24"/>
      <c r="Z26" s="24"/>
    </row>
    <row r="27">
      <c r="A27" s="24"/>
      <c r="B27" s="24"/>
      <c r="C27" s="24"/>
      <c r="D27" s="24"/>
      <c r="E27" s="21" t="s">
        <v>951</v>
      </c>
      <c r="F27" s="21">
        <v>1.0</v>
      </c>
      <c r="G27" s="24"/>
      <c r="H27" s="24"/>
      <c r="I27" s="50"/>
      <c r="J27" s="24"/>
      <c r="K27" s="24"/>
      <c r="L27" s="24"/>
      <c r="M27" s="24"/>
      <c r="N27" s="24"/>
      <c r="O27" s="24"/>
      <c r="P27" s="24"/>
      <c r="Q27" s="24"/>
      <c r="R27" s="24"/>
      <c r="S27" s="24"/>
      <c r="T27" s="24"/>
      <c r="U27" s="24"/>
      <c r="V27" s="24"/>
      <c r="W27" s="24"/>
      <c r="X27" s="24"/>
      <c r="Y27" s="24"/>
      <c r="Z27" s="24"/>
    </row>
    <row r="28">
      <c r="A28" s="24"/>
      <c r="B28" s="24"/>
      <c r="C28" s="24"/>
      <c r="D28" s="24"/>
      <c r="E28" s="21" t="s">
        <v>957</v>
      </c>
      <c r="F28" s="21">
        <v>5.0</v>
      </c>
      <c r="G28" s="24"/>
      <c r="H28" s="24"/>
      <c r="I28" s="50"/>
      <c r="J28" s="24"/>
      <c r="K28" s="24"/>
      <c r="L28" s="24"/>
      <c r="M28" s="24"/>
      <c r="N28" s="24"/>
      <c r="O28" s="24"/>
      <c r="P28" s="24"/>
      <c r="Q28" s="24"/>
      <c r="R28" s="24"/>
      <c r="S28" s="24"/>
      <c r="T28" s="24"/>
      <c r="U28" s="24"/>
      <c r="V28" s="24"/>
      <c r="W28" s="24"/>
      <c r="X28" s="24"/>
      <c r="Y28" s="24"/>
      <c r="Z28" s="24"/>
    </row>
    <row r="29">
      <c r="A29" s="24"/>
      <c r="B29" s="24"/>
      <c r="C29" s="24"/>
      <c r="D29" s="24"/>
      <c r="E29" s="21" t="s">
        <v>972</v>
      </c>
      <c r="F29" s="21">
        <v>1.0</v>
      </c>
      <c r="G29" s="24"/>
      <c r="H29" s="24"/>
      <c r="I29" s="50"/>
      <c r="J29" s="24"/>
      <c r="K29" s="24"/>
      <c r="L29" s="24"/>
      <c r="M29" s="24"/>
      <c r="N29" s="24"/>
      <c r="O29" s="24"/>
      <c r="P29" s="24"/>
      <c r="Q29" s="24"/>
      <c r="R29" s="24"/>
      <c r="S29" s="24"/>
      <c r="T29" s="24"/>
      <c r="U29" s="24"/>
      <c r="V29" s="24"/>
      <c r="W29" s="24"/>
      <c r="X29" s="24"/>
      <c r="Y29" s="24"/>
      <c r="Z29" s="24"/>
    </row>
    <row r="30">
      <c r="A30" s="18" t="s">
        <v>9</v>
      </c>
      <c r="B30" s="19">
        <v>46175.0</v>
      </c>
      <c r="C30" s="20">
        <v>0.41805555555555557</v>
      </c>
      <c r="E30" s="18" t="s">
        <v>950</v>
      </c>
      <c r="F30" s="18">
        <v>1.0</v>
      </c>
      <c r="H30" s="18" t="s">
        <v>973</v>
      </c>
    </row>
    <row r="31">
      <c r="E31" s="18" t="s">
        <v>951</v>
      </c>
      <c r="F31" s="18">
        <v>5.0</v>
      </c>
      <c r="G31" s="18" t="s">
        <v>974</v>
      </c>
      <c r="H31" s="18" t="s">
        <v>975</v>
      </c>
      <c r="I31" s="47"/>
    </row>
    <row r="32">
      <c r="E32" s="18" t="s">
        <v>958</v>
      </c>
      <c r="F32" s="18">
        <v>2.0</v>
      </c>
      <c r="I32" s="47"/>
    </row>
    <row r="33">
      <c r="A33" s="21" t="s">
        <v>11</v>
      </c>
      <c r="B33" s="22">
        <v>46175.0</v>
      </c>
      <c r="C33" s="23">
        <v>0.45</v>
      </c>
      <c r="D33" s="24"/>
      <c r="E33" s="21" t="s">
        <v>950</v>
      </c>
      <c r="F33" s="21">
        <v>4.0</v>
      </c>
      <c r="G33" s="21" t="s">
        <v>976</v>
      </c>
      <c r="H33" s="24"/>
      <c r="I33" s="25" t="s">
        <v>977</v>
      </c>
      <c r="J33" s="24"/>
      <c r="K33" s="24"/>
      <c r="L33" s="24"/>
      <c r="M33" s="24"/>
      <c r="N33" s="24"/>
      <c r="O33" s="24"/>
      <c r="P33" s="24"/>
      <c r="Q33" s="24"/>
      <c r="R33" s="24"/>
      <c r="S33" s="24"/>
      <c r="T33" s="24"/>
      <c r="U33" s="24"/>
      <c r="V33" s="24"/>
      <c r="W33" s="24"/>
      <c r="X33" s="24"/>
      <c r="Y33" s="24"/>
      <c r="Z33" s="24"/>
    </row>
    <row r="34">
      <c r="A34" s="24"/>
      <c r="B34" s="24"/>
      <c r="C34" s="24"/>
      <c r="D34" s="24"/>
      <c r="E34" s="21" t="s">
        <v>978</v>
      </c>
      <c r="F34" s="21">
        <v>2.0</v>
      </c>
      <c r="G34" s="21" t="s">
        <v>976</v>
      </c>
      <c r="H34" s="24"/>
      <c r="I34" s="50"/>
      <c r="J34" s="24"/>
      <c r="K34" s="24"/>
      <c r="L34" s="24"/>
      <c r="M34" s="24"/>
      <c r="N34" s="24"/>
      <c r="O34" s="24"/>
      <c r="P34" s="24"/>
      <c r="Q34" s="24"/>
      <c r="R34" s="24"/>
      <c r="S34" s="24"/>
      <c r="T34" s="24"/>
      <c r="U34" s="24"/>
      <c r="V34" s="24"/>
      <c r="W34" s="24"/>
      <c r="X34" s="24"/>
      <c r="Y34" s="24"/>
      <c r="Z34" s="24"/>
    </row>
    <row r="35">
      <c r="A35" s="24"/>
      <c r="B35" s="24"/>
      <c r="C35" s="24"/>
      <c r="D35" s="24"/>
      <c r="E35" s="21" t="s">
        <v>972</v>
      </c>
      <c r="F35" s="21">
        <v>2.0</v>
      </c>
      <c r="G35" s="24"/>
      <c r="H35" s="24"/>
      <c r="I35" s="50"/>
      <c r="J35" s="24"/>
      <c r="K35" s="24"/>
      <c r="L35" s="24"/>
      <c r="M35" s="24"/>
      <c r="N35" s="24"/>
      <c r="O35" s="24"/>
      <c r="P35" s="24"/>
      <c r="Q35" s="24"/>
      <c r="R35" s="24"/>
      <c r="S35" s="24"/>
      <c r="T35" s="24"/>
      <c r="U35" s="24"/>
      <c r="V35" s="24"/>
      <c r="W35" s="24"/>
      <c r="X35" s="24"/>
      <c r="Y35" s="24"/>
      <c r="Z35" s="24"/>
    </row>
    <row r="36">
      <c r="A36" s="24"/>
      <c r="B36" s="24"/>
      <c r="C36" s="24"/>
      <c r="D36" s="24"/>
      <c r="E36" s="21" t="s">
        <v>959</v>
      </c>
      <c r="F36" s="21">
        <v>1.0</v>
      </c>
      <c r="G36" s="21" t="s">
        <v>955</v>
      </c>
      <c r="H36" s="24"/>
      <c r="I36" s="50"/>
      <c r="J36" s="24"/>
      <c r="K36" s="24"/>
      <c r="L36" s="24"/>
      <c r="M36" s="24"/>
      <c r="N36" s="24"/>
      <c r="O36" s="24"/>
      <c r="P36" s="24"/>
      <c r="Q36" s="24"/>
      <c r="R36" s="24"/>
      <c r="S36" s="24"/>
      <c r="T36" s="24"/>
      <c r="U36" s="24"/>
      <c r="V36" s="24"/>
      <c r="W36" s="24"/>
      <c r="X36" s="24"/>
      <c r="Y36" s="24"/>
      <c r="Z36" s="24"/>
    </row>
    <row r="37">
      <c r="A37" s="24"/>
      <c r="B37" s="24"/>
      <c r="C37" s="24"/>
      <c r="D37" s="24"/>
      <c r="E37" s="21" t="s">
        <v>958</v>
      </c>
      <c r="F37" s="21">
        <v>1.0</v>
      </c>
      <c r="G37" s="24"/>
      <c r="H37" s="24"/>
      <c r="I37" s="50"/>
      <c r="J37" s="24"/>
      <c r="K37" s="24"/>
      <c r="L37" s="24"/>
      <c r="M37" s="24"/>
      <c r="N37" s="24"/>
      <c r="O37" s="24"/>
      <c r="P37" s="24"/>
      <c r="Q37" s="24"/>
      <c r="R37" s="24"/>
      <c r="S37" s="24"/>
      <c r="T37" s="24"/>
      <c r="U37" s="24"/>
      <c r="V37" s="24"/>
      <c r="W37" s="24"/>
      <c r="X37" s="24"/>
      <c r="Y37" s="24"/>
      <c r="Z37" s="24"/>
    </row>
    <row r="38">
      <c r="A38" s="24"/>
      <c r="B38" s="24"/>
      <c r="C38" s="24"/>
      <c r="D38" s="24"/>
      <c r="E38" s="21" t="s">
        <v>952</v>
      </c>
      <c r="F38" s="21">
        <v>1.0</v>
      </c>
      <c r="G38" s="24"/>
      <c r="H38" s="24"/>
      <c r="I38" s="50"/>
      <c r="J38" s="24"/>
      <c r="K38" s="24"/>
      <c r="L38" s="24"/>
      <c r="M38" s="24"/>
      <c r="N38" s="24"/>
      <c r="O38" s="24"/>
      <c r="P38" s="24"/>
      <c r="Q38" s="24"/>
      <c r="R38" s="24"/>
      <c r="S38" s="24"/>
      <c r="T38" s="24"/>
      <c r="U38" s="24"/>
      <c r="V38" s="24"/>
      <c r="W38" s="24"/>
      <c r="X38" s="24"/>
      <c r="Y38" s="24"/>
      <c r="Z38" s="24"/>
    </row>
    <row r="39">
      <c r="A39" s="24"/>
      <c r="B39" s="24"/>
      <c r="C39" s="24"/>
      <c r="D39" s="24"/>
      <c r="E39" s="21" t="s">
        <v>951</v>
      </c>
      <c r="F39" s="21">
        <v>1.0</v>
      </c>
      <c r="G39" s="24"/>
      <c r="H39" s="24"/>
      <c r="I39" s="50"/>
      <c r="J39" s="24"/>
      <c r="K39" s="24"/>
      <c r="L39" s="24"/>
      <c r="M39" s="24"/>
      <c r="N39" s="24"/>
      <c r="O39" s="24"/>
      <c r="P39" s="24"/>
      <c r="Q39" s="24"/>
      <c r="R39" s="24"/>
      <c r="S39" s="24"/>
      <c r="T39" s="24"/>
      <c r="U39" s="24"/>
      <c r="V39" s="24"/>
      <c r="W39" s="24"/>
      <c r="X39" s="24"/>
      <c r="Y39" s="24"/>
      <c r="Z39" s="24"/>
    </row>
    <row r="40">
      <c r="A40" s="18" t="s">
        <v>24</v>
      </c>
      <c r="B40" s="19">
        <v>46177.0</v>
      </c>
      <c r="C40" s="20">
        <v>0.3548611111111111</v>
      </c>
      <c r="E40" s="18" t="s">
        <v>979</v>
      </c>
      <c r="F40" s="18">
        <v>6.0</v>
      </c>
      <c r="H40" s="18" t="s">
        <v>980</v>
      </c>
      <c r="I40" s="47"/>
    </row>
    <row r="41">
      <c r="E41" s="18" t="s">
        <v>962</v>
      </c>
      <c r="F41" s="18">
        <v>1.0</v>
      </c>
      <c r="H41" s="18" t="s">
        <v>981</v>
      </c>
      <c r="I41" s="47"/>
    </row>
    <row r="42">
      <c r="E42" s="18" t="s">
        <v>982</v>
      </c>
      <c r="F42" s="18">
        <v>1.0</v>
      </c>
      <c r="I42" s="47"/>
    </row>
    <row r="43">
      <c r="E43" s="18" t="s">
        <v>950</v>
      </c>
      <c r="F43" s="18">
        <v>5.0</v>
      </c>
      <c r="I43" s="47"/>
    </row>
    <row r="44">
      <c r="E44" s="18" t="s">
        <v>951</v>
      </c>
      <c r="F44" s="18">
        <v>2.0</v>
      </c>
      <c r="I44" s="47"/>
    </row>
    <row r="45">
      <c r="E45" s="18" t="s">
        <v>958</v>
      </c>
      <c r="F45" s="18">
        <v>1.0</v>
      </c>
      <c r="I45" s="47"/>
    </row>
    <row r="46">
      <c r="E46" s="18" t="s">
        <v>957</v>
      </c>
      <c r="F46" s="18">
        <v>1.0</v>
      </c>
      <c r="I46" s="47"/>
    </row>
    <row r="47">
      <c r="A47" s="21" t="s">
        <v>28</v>
      </c>
      <c r="B47" s="22">
        <v>46177.0</v>
      </c>
      <c r="C47" s="23">
        <v>0.4076388888888889</v>
      </c>
      <c r="D47" s="24"/>
      <c r="E47" s="21" t="s">
        <v>983</v>
      </c>
      <c r="F47" s="21">
        <v>2.0</v>
      </c>
      <c r="G47" s="24"/>
      <c r="H47" s="21" t="s">
        <v>981</v>
      </c>
      <c r="I47" s="50"/>
      <c r="J47" s="24"/>
      <c r="K47" s="24"/>
      <c r="L47" s="24"/>
      <c r="M47" s="24"/>
      <c r="N47" s="24"/>
      <c r="O47" s="24"/>
      <c r="P47" s="24"/>
      <c r="Q47" s="24"/>
      <c r="R47" s="24"/>
      <c r="S47" s="24"/>
      <c r="T47" s="24"/>
      <c r="U47" s="24"/>
      <c r="V47" s="24"/>
      <c r="W47" s="24"/>
      <c r="X47" s="24"/>
      <c r="Y47" s="24"/>
      <c r="Z47" s="24"/>
    </row>
    <row r="48">
      <c r="A48" s="24"/>
      <c r="B48" s="24"/>
      <c r="C48" s="24"/>
      <c r="D48" s="24"/>
      <c r="E48" s="21" t="s">
        <v>950</v>
      </c>
      <c r="F48" s="21">
        <v>6.0</v>
      </c>
      <c r="G48" s="24"/>
      <c r="H48" s="21" t="s">
        <v>973</v>
      </c>
      <c r="I48" s="50"/>
      <c r="J48" s="24"/>
      <c r="K48" s="24"/>
      <c r="L48" s="24"/>
      <c r="M48" s="24"/>
      <c r="N48" s="24"/>
      <c r="O48" s="24"/>
      <c r="P48" s="24"/>
      <c r="Q48" s="24"/>
      <c r="R48" s="24"/>
      <c r="S48" s="24"/>
      <c r="T48" s="24"/>
      <c r="U48" s="24"/>
      <c r="V48" s="24"/>
      <c r="W48" s="24"/>
      <c r="X48" s="24"/>
      <c r="Y48" s="24"/>
      <c r="Z48" s="24"/>
    </row>
    <row r="49">
      <c r="A49" s="24"/>
      <c r="B49" s="24"/>
      <c r="C49" s="24"/>
      <c r="D49" s="24"/>
      <c r="E49" s="21" t="s">
        <v>957</v>
      </c>
      <c r="F49" s="21">
        <v>3.0</v>
      </c>
      <c r="G49" s="24"/>
      <c r="H49" s="21"/>
      <c r="I49" s="50"/>
      <c r="J49" s="24"/>
      <c r="K49" s="24"/>
      <c r="L49" s="24"/>
      <c r="M49" s="24"/>
      <c r="N49" s="24"/>
      <c r="O49" s="24"/>
      <c r="P49" s="24"/>
      <c r="Q49" s="24"/>
      <c r="R49" s="24"/>
      <c r="S49" s="24"/>
      <c r="T49" s="24"/>
      <c r="U49" s="24"/>
      <c r="V49" s="24"/>
      <c r="W49" s="24"/>
      <c r="X49" s="24"/>
      <c r="Y49" s="24"/>
      <c r="Z49" s="24"/>
    </row>
    <row r="50">
      <c r="A50" s="24"/>
      <c r="B50" s="24"/>
      <c r="C50" s="24"/>
      <c r="D50" s="24"/>
      <c r="E50" s="21" t="s">
        <v>951</v>
      </c>
      <c r="F50" s="21">
        <v>1.0</v>
      </c>
      <c r="G50" s="24"/>
      <c r="H50" s="24"/>
      <c r="I50" s="50"/>
      <c r="J50" s="24"/>
      <c r="K50" s="24"/>
      <c r="L50" s="24"/>
      <c r="M50" s="24"/>
      <c r="N50" s="24"/>
      <c r="O50" s="24"/>
      <c r="P50" s="24"/>
      <c r="Q50" s="24"/>
      <c r="R50" s="24"/>
      <c r="S50" s="24"/>
      <c r="T50" s="24"/>
      <c r="U50" s="24"/>
      <c r="V50" s="24"/>
      <c r="W50" s="24"/>
      <c r="X50" s="24"/>
      <c r="Y50" s="24"/>
      <c r="Z50" s="24"/>
    </row>
    <row r="51">
      <c r="A51" s="24"/>
      <c r="B51" s="24"/>
      <c r="C51" s="24"/>
      <c r="D51" s="24"/>
      <c r="E51" s="21" t="s">
        <v>962</v>
      </c>
      <c r="F51" s="21">
        <v>2.0</v>
      </c>
      <c r="G51" s="21" t="s">
        <v>984</v>
      </c>
      <c r="H51" s="24"/>
      <c r="I51" s="50"/>
      <c r="J51" s="24"/>
      <c r="K51" s="24"/>
      <c r="L51" s="24"/>
      <c r="M51" s="24"/>
      <c r="N51" s="24"/>
      <c r="O51" s="24"/>
      <c r="P51" s="24"/>
      <c r="Q51" s="24"/>
      <c r="R51" s="24"/>
      <c r="S51" s="24"/>
      <c r="T51" s="24"/>
      <c r="U51" s="24"/>
      <c r="V51" s="24"/>
      <c r="W51" s="24"/>
      <c r="X51" s="24"/>
      <c r="Y51" s="24"/>
      <c r="Z51" s="24"/>
    </row>
    <row r="52">
      <c r="A52" s="18" t="s">
        <v>26</v>
      </c>
      <c r="B52" s="19">
        <v>46177.0</v>
      </c>
      <c r="C52" s="20">
        <v>0.4527777777777778</v>
      </c>
      <c r="E52" s="18" t="s">
        <v>950</v>
      </c>
      <c r="F52" s="18">
        <v>12.0</v>
      </c>
      <c r="I52" s="47"/>
    </row>
    <row r="53">
      <c r="E53" s="18" t="s">
        <v>958</v>
      </c>
      <c r="F53" s="18">
        <v>1.0</v>
      </c>
      <c r="I53" s="47"/>
    </row>
    <row r="54">
      <c r="E54" s="18" t="s">
        <v>951</v>
      </c>
      <c r="F54" s="18">
        <v>3.0</v>
      </c>
      <c r="I54" s="47"/>
    </row>
    <row r="55">
      <c r="E55" s="18" t="s">
        <v>959</v>
      </c>
      <c r="F55" s="18">
        <v>2.0</v>
      </c>
      <c r="G55" s="18" t="s">
        <v>955</v>
      </c>
      <c r="I55" s="47"/>
    </row>
    <row r="56">
      <c r="A56" s="21" t="s">
        <v>16</v>
      </c>
      <c r="B56" s="22">
        <v>46181.0</v>
      </c>
      <c r="C56" s="23">
        <v>0.3923611111111111</v>
      </c>
      <c r="D56" s="24"/>
      <c r="E56" s="21" t="s">
        <v>950</v>
      </c>
      <c r="F56" s="21">
        <v>3.0</v>
      </c>
      <c r="G56" s="24"/>
      <c r="H56" s="21" t="s">
        <v>957</v>
      </c>
      <c r="I56" s="50"/>
      <c r="J56" s="24"/>
      <c r="K56" s="24"/>
      <c r="L56" s="24"/>
      <c r="M56" s="24"/>
      <c r="N56" s="24"/>
      <c r="O56" s="24"/>
      <c r="P56" s="24"/>
      <c r="Q56" s="24"/>
      <c r="R56" s="24"/>
      <c r="S56" s="24"/>
      <c r="T56" s="24"/>
      <c r="U56" s="24"/>
      <c r="V56" s="24"/>
      <c r="W56" s="24"/>
      <c r="X56" s="24"/>
      <c r="Y56" s="24"/>
      <c r="Z56" s="24"/>
    </row>
    <row r="57">
      <c r="A57" s="24"/>
      <c r="B57" s="24"/>
      <c r="C57" s="24"/>
      <c r="D57" s="24"/>
      <c r="E57" s="21" t="s">
        <v>959</v>
      </c>
      <c r="F57" s="21">
        <v>1.0</v>
      </c>
      <c r="G57" s="21" t="s">
        <v>985</v>
      </c>
      <c r="H57" s="21" t="s">
        <v>951</v>
      </c>
      <c r="I57" s="50"/>
      <c r="J57" s="24"/>
      <c r="K57" s="24"/>
      <c r="L57" s="24"/>
      <c r="M57" s="24"/>
      <c r="N57" s="24"/>
      <c r="O57" s="24"/>
      <c r="P57" s="24"/>
      <c r="Q57" s="24"/>
      <c r="R57" s="24"/>
      <c r="S57" s="24"/>
      <c r="T57" s="24"/>
      <c r="U57" s="24"/>
      <c r="V57" s="24"/>
      <c r="W57" s="24"/>
      <c r="X57" s="24"/>
      <c r="Y57" s="24"/>
      <c r="Z57" s="24"/>
    </row>
    <row r="58">
      <c r="A58" s="24"/>
      <c r="B58" s="24"/>
      <c r="C58" s="24"/>
      <c r="D58" s="24"/>
      <c r="E58" s="21" t="s">
        <v>963</v>
      </c>
      <c r="F58" s="21">
        <v>1.0</v>
      </c>
      <c r="G58" s="21" t="s">
        <v>985</v>
      </c>
      <c r="H58" s="21" t="s">
        <v>952</v>
      </c>
      <c r="I58" s="50"/>
      <c r="J58" s="24"/>
      <c r="K58" s="24"/>
      <c r="L58" s="24"/>
      <c r="M58" s="24"/>
      <c r="N58" s="24"/>
      <c r="O58" s="24"/>
      <c r="P58" s="24"/>
      <c r="Q58" s="24"/>
      <c r="R58" s="24"/>
      <c r="S58" s="24"/>
      <c r="T58" s="24"/>
      <c r="U58" s="24"/>
      <c r="V58" s="24"/>
      <c r="W58" s="24"/>
      <c r="X58" s="24"/>
      <c r="Y58" s="24"/>
      <c r="Z58" s="24"/>
    </row>
    <row r="59">
      <c r="A59" s="24"/>
      <c r="B59" s="24"/>
      <c r="C59" s="24"/>
      <c r="D59" s="24"/>
      <c r="E59" s="21" t="s">
        <v>986</v>
      </c>
      <c r="F59" s="21">
        <v>1.0</v>
      </c>
      <c r="G59" s="21" t="s">
        <v>985</v>
      </c>
      <c r="H59" s="24"/>
      <c r="I59" s="50"/>
      <c r="J59" s="24"/>
      <c r="K59" s="24"/>
      <c r="L59" s="24"/>
      <c r="M59" s="24"/>
      <c r="N59" s="24"/>
      <c r="O59" s="24"/>
      <c r="P59" s="24"/>
      <c r="Q59" s="24"/>
      <c r="R59" s="24"/>
      <c r="S59" s="24"/>
      <c r="T59" s="24"/>
      <c r="U59" s="24"/>
      <c r="V59" s="24"/>
      <c r="W59" s="24"/>
      <c r="X59" s="24"/>
      <c r="Y59" s="24"/>
      <c r="Z59" s="24"/>
    </row>
    <row r="60">
      <c r="A60" s="18" t="s">
        <v>45</v>
      </c>
      <c r="B60" s="19">
        <v>46181.0</v>
      </c>
      <c r="C60" s="20">
        <v>0.42291666666666666</v>
      </c>
      <c r="E60" s="18" t="s">
        <v>950</v>
      </c>
      <c r="F60" s="18">
        <v>4.0</v>
      </c>
      <c r="I60" s="47"/>
    </row>
    <row r="61">
      <c r="E61" s="18" t="s">
        <v>958</v>
      </c>
      <c r="F61" s="18">
        <v>2.0</v>
      </c>
      <c r="G61" s="18" t="s">
        <v>976</v>
      </c>
      <c r="I61" s="47"/>
    </row>
    <row r="62">
      <c r="E62" s="18" t="s">
        <v>957</v>
      </c>
      <c r="F62" s="18">
        <v>2.0</v>
      </c>
      <c r="I62" s="47"/>
    </row>
    <row r="63">
      <c r="A63" s="21" t="s">
        <v>14</v>
      </c>
      <c r="B63" s="22">
        <v>46181.0</v>
      </c>
      <c r="C63" s="23">
        <v>0.4527777777777778</v>
      </c>
      <c r="D63" s="24"/>
      <c r="E63" s="21" t="s">
        <v>950</v>
      </c>
      <c r="F63" s="21">
        <v>4.0</v>
      </c>
      <c r="G63" s="24"/>
      <c r="H63" s="21" t="s">
        <v>987</v>
      </c>
      <c r="I63" s="50"/>
      <c r="J63" s="24"/>
      <c r="K63" s="24"/>
      <c r="L63" s="24"/>
      <c r="M63" s="24"/>
      <c r="N63" s="24"/>
      <c r="O63" s="24"/>
      <c r="P63" s="24"/>
      <c r="Q63" s="24"/>
      <c r="R63" s="24"/>
      <c r="S63" s="24"/>
      <c r="T63" s="24"/>
      <c r="U63" s="24"/>
      <c r="V63" s="24"/>
      <c r="W63" s="24"/>
      <c r="X63" s="24"/>
      <c r="Y63" s="24"/>
      <c r="Z63" s="24"/>
    </row>
    <row r="64">
      <c r="A64" s="24"/>
      <c r="B64" s="24"/>
      <c r="C64" s="24"/>
      <c r="D64" s="24"/>
      <c r="E64" s="21" t="s">
        <v>957</v>
      </c>
      <c r="F64" s="21">
        <v>1.0</v>
      </c>
      <c r="G64" s="24"/>
      <c r="H64" s="24"/>
      <c r="I64" s="50"/>
      <c r="J64" s="24"/>
      <c r="K64" s="24"/>
      <c r="L64" s="24"/>
      <c r="M64" s="24"/>
      <c r="N64" s="24"/>
      <c r="O64" s="24"/>
      <c r="P64" s="24"/>
      <c r="Q64" s="24"/>
      <c r="R64" s="24"/>
      <c r="S64" s="24"/>
      <c r="T64" s="24"/>
      <c r="U64" s="24"/>
      <c r="V64" s="24"/>
      <c r="W64" s="24"/>
      <c r="X64" s="24"/>
      <c r="Y64" s="24"/>
      <c r="Z64" s="24"/>
    </row>
    <row r="65">
      <c r="A65" s="24"/>
      <c r="B65" s="24"/>
      <c r="C65" s="24"/>
      <c r="D65" s="24"/>
      <c r="E65" s="21" t="s">
        <v>988</v>
      </c>
      <c r="F65" s="21">
        <v>1.0</v>
      </c>
      <c r="G65" s="24"/>
      <c r="H65" s="24"/>
      <c r="I65" s="50"/>
      <c r="J65" s="24"/>
      <c r="K65" s="24"/>
      <c r="L65" s="24"/>
      <c r="M65" s="24"/>
      <c r="N65" s="24"/>
      <c r="O65" s="24"/>
      <c r="P65" s="24"/>
      <c r="Q65" s="24"/>
      <c r="R65" s="24"/>
      <c r="S65" s="24"/>
      <c r="T65" s="24"/>
      <c r="U65" s="24"/>
      <c r="V65" s="24"/>
      <c r="W65" s="24"/>
      <c r="X65" s="24"/>
      <c r="Y65" s="24"/>
      <c r="Z65" s="24"/>
    </row>
    <row r="66">
      <c r="I66" s="47"/>
    </row>
    <row r="67">
      <c r="I67" s="47"/>
    </row>
    <row r="68">
      <c r="I68" s="47"/>
    </row>
    <row r="69">
      <c r="I69" s="47"/>
    </row>
    <row r="70">
      <c r="I70" s="47"/>
    </row>
    <row r="71">
      <c r="I71" s="47"/>
    </row>
    <row r="72">
      <c r="I72" s="47"/>
    </row>
    <row r="73">
      <c r="I73" s="47"/>
    </row>
    <row r="74">
      <c r="I74" s="47"/>
    </row>
    <row r="75">
      <c r="I75" s="47"/>
    </row>
    <row r="76">
      <c r="I76" s="47"/>
    </row>
    <row r="77">
      <c r="I77" s="47"/>
    </row>
    <row r="78">
      <c r="I78" s="47"/>
    </row>
    <row r="79">
      <c r="I79" s="47"/>
    </row>
    <row r="80">
      <c r="I80" s="47"/>
    </row>
    <row r="81">
      <c r="I81" s="47"/>
    </row>
    <row r="82">
      <c r="I82" s="47"/>
    </row>
    <row r="83">
      <c r="I83" s="47"/>
    </row>
    <row r="84">
      <c r="I84" s="47"/>
    </row>
    <row r="85">
      <c r="I85" s="47"/>
    </row>
    <row r="86">
      <c r="I86" s="47"/>
    </row>
    <row r="87">
      <c r="I87" s="47"/>
    </row>
    <row r="88">
      <c r="I88" s="47"/>
    </row>
    <row r="89">
      <c r="I89" s="47"/>
    </row>
    <row r="90">
      <c r="I90" s="47"/>
    </row>
    <row r="91">
      <c r="I91" s="47"/>
    </row>
    <row r="92">
      <c r="I92" s="47"/>
    </row>
    <row r="93">
      <c r="I93" s="47"/>
    </row>
    <row r="94">
      <c r="I94" s="47"/>
    </row>
    <row r="95">
      <c r="I95" s="47"/>
    </row>
    <row r="96">
      <c r="I96" s="47"/>
    </row>
    <row r="97">
      <c r="I97" s="47"/>
    </row>
    <row r="98">
      <c r="I98" s="47"/>
    </row>
    <row r="99">
      <c r="I99" s="47"/>
    </row>
    <row r="100">
      <c r="I100" s="47"/>
    </row>
    <row r="101">
      <c r="I101" s="47"/>
    </row>
    <row r="102">
      <c r="I102" s="47"/>
    </row>
    <row r="103">
      <c r="I103" s="47"/>
    </row>
    <row r="104">
      <c r="I104" s="47"/>
    </row>
    <row r="105">
      <c r="I105" s="47"/>
    </row>
    <row r="106">
      <c r="I106" s="47"/>
    </row>
    <row r="107">
      <c r="I107" s="47"/>
    </row>
    <row r="108">
      <c r="I108" s="47"/>
    </row>
    <row r="109">
      <c r="I109" s="47"/>
    </row>
    <row r="110">
      <c r="I110" s="47"/>
    </row>
    <row r="111">
      <c r="I111" s="47"/>
    </row>
    <row r="112">
      <c r="I112" s="47"/>
    </row>
    <row r="113">
      <c r="I113" s="47"/>
    </row>
    <row r="114">
      <c r="I114" s="47"/>
    </row>
    <row r="115">
      <c r="I115" s="47"/>
    </row>
    <row r="116">
      <c r="I116" s="47"/>
    </row>
    <row r="117">
      <c r="I117" s="47"/>
    </row>
    <row r="118">
      <c r="I118" s="47"/>
    </row>
    <row r="119">
      <c r="I119" s="47"/>
    </row>
    <row r="120">
      <c r="I120" s="47"/>
    </row>
    <row r="121">
      <c r="I121" s="47"/>
    </row>
    <row r="122">
      <c r="I122" s="47"/>
    </row>
    <row r="123">
      <c r="I123" s="47"/>
    </row>
    <row r="124">
      <c r="I124" s="47"/>
    </row>
    <row r="125">
      <c r="I125" s="47"/>
    </row>
    <row r="126">
      <c r="I126" s="47"/>
    </row>
    <row r="127">
      <c r="I127" s="47"/>
    </row>
    <row r="128">
      <c r="I128" s="47"/>
    </row>
    <row r="129">
      <c r="I129" s="47"/>
    </row>
    <row r="130">
      <c r="I130" s="47"/>
    </row>
    <row r="131">
      <c r="I131" s="47"/>
    </row>
    <row r="132">
      <c r="I132" s="47"/>
    </row>
    <row r="133">
      <c r="I133" s="47"/>
    </row>
    <row r="134">
      <c r="I134" s="47"/>
    </row>
    <row r="135">
      <c r="I135" s="47"/>
    </row>
    <row r="136">
      <c r="I136" s="47"/>
    </row>
    <row r="137">
      <c r="I137" s="47"/>
    </row>
    <row r="138">
      <c r="I138" s="47"/>
    </row>
    <row r="139">
      <c r="I139" s="47"/>
    </row>
    <row r="140">
      <c r="I140" s="47"/>
    </row>
    <row r="141">
      <c r="I141" s="47"/>
    </row>
    <row r="142">
      <c r="I142" s="47"/>
    </row>
    <row r="143">
      <c r="I143" s="47"/>
    </row>
    <row r="144">
      <c r="I144" s="47"/>
    </row>
    <row r="145">
      <c r="I145" s="47"/>
    </row>
    <row r="146">
      <c r="I146" s="47"/>
    </row>
    <row r="147">
      <c r="I147" s="47"/>
    </row>
    <row r="148">
      <c r="I148" s="47"/>
    </row>
    <row r="149">
      <c r="I149" s="47"/>
    </row>
    <row r="150">
      <c r="I150" s="47"/>
    </row>
    <row r="151">
      <c r="I151" s="47"/>
    </row>
    <row r="152">
      <c r="I152" s="47"/>
    </row>
    <row r="153">
      <c r="I153" s="47"/>
    </row>
    <row r="154">
      <c r="I154" s="47"/>
    </row>
    <row r="155">
      <c r="I155" s="47"/>
    </row>
    <row r="156">
      <c r="I156" s="47"/>
    </row>
    <row r="157">
      <c r="I157" s="47"/>
    </row>
    <row r="158">
      <c r="I158" s="47"/>
    </row>
    <row r="159">
      <c r="I159" s="47"/>
    </row>
    <row r="160">
      <c r="I160" s="47"/>
    </row>
    <row r="161">
      <c r="I161" s="47"/>
    </row>
    <row r="162">
      <c r="I162" s="47"/>
    </row>
    <row r="163">
      <c r="I163" s="47"/>
    </row>
    <row r="164">
      <c r="I164" s="47"/>
    </row>
    <row r="165">
      <c r="I165" s="47"/>
    </row>
    <row r="166">
      <c r="I166" s="47"/>
    </row>
    <row r="167">
      <c r="I167" s="47"/>
    </row>
    <row r="168">
      <c r="I168" s="47"/>
    </row>
    <row r="169">
      <c r="I169" s="47"/>
    </row>
    <row r="170">
      <c r="I170" s="47"/>
    </row>
    <row r="171">
      <c r="I171" s="47"/>
    </row>
    <row r="172">
      <c r="I172" s="47"/>
    </row>
    <row r="173">
      <c r="I173" s="47"/>
    </row>
    <row r="174">
      <c r="I174" s="47"/>
    </row>
    <row r="175">
      <c r="I175" s="47"/>
    </row>
    <row r="176">
      <c r="I176" s="47"/>
    </row>
    <row r="177">
      <c r="I177" s="47"/>
    </row>
    <row r="178">
      <c r="I178" s="47"/>
    </row>
    <row r="179">
      <c r="I179" s="47"/>
    </row>
    <row r="180">
      <c r="I180" s="47"/>
    </row>
    <row r="181">
      <c r="I181" s="47"/>
    </row>
    <row r="182">
      <c r="I182" s="47"/>
    </row>
    <row r="183">
      <c r="I183" s="47"/>
    </row>
    <row r="184">
      <c r="I184" s="47"/>
    </row>
    <row r="185">
      <c r="I185" s="47"/>
    </row>
    <row r="186">
      <c r="I186" s="47"/>
    </row>
    <row r="187">
      <c r="I187" s="47"/>
    </row>
    <row r="188">
      <c r="I188" s="47"/>
    </row>
    <row r="189">
      <c r="I189" s="47"/>
    </row>
    <row r="190">
      <c r="I190" s="47"/>
    </row>
    <row r="191">
      <c r="I191" s="47"/>
    </row>
    <row r="192">
      <c r="I192" s="47"/>
    </row>
    <row r="193">
      <c r="I193" s="47"/>
    </row>
    <row r="194">
      <c r="I194" s="47"/>
    </row>
    <row r="195">
      <c r="I195" s="47"/>
    </row>
    <row r="196">
      <c r="I196" s="47"/>
    </row>
    <row r="197">
      <c r="I197" s="47"/>
    </row>
    <row r="198">
      <c r="I198" s="47"/>
    </row>
    <row r="199">
      <c r="I199" s="47"/>
    </row>
    <row r="200">
      <c r="I200" s="47"/>
    </row>
    <row r="201">
      <c r="I201" s="47"/>
    </row>
    <row r="202">
      <c r="I202" s="47"/>
    </row>
    <row r="203">
      <c r="I203" s="47"/>
    </row>
    <row r="204">
      <c r="I204" s="47"/>
    </row>
    <row r="205">
      <c r="I205" s="47"/>
    </row>
    <row r="206">
      <c r="I206" s="47"/>
    </row>
    <row r="207">
      <c r="I207" s="47"/>
    </row>
    <row r="208">
      <c r="I208" s="47"/>
    </row>
    <row r="209">
      <c r="I209" s="47"/>
    </row>
    <row r="210">
      <c r="I210" s="47"/>
    </row>
    <row r="211">
      <c r="I211" s="47"/>
    </row>
    <row r="212">
      <c r="I212" s="47"/>
    </row>
    <row r="213">
      <c r="I213" s="47"/>
    </row>
    <row r="214">
      <c r="I214" s="47"/>
    </row>
    <row r="215">
      <c r="I215" s="47"/>
    </row>
    <row r="216">
      <c r="I216" s="47"/>
    </row>
    <row r="217">
      <c r="I217" s="47"/>
    </row>
    <row r="218">
      <c r="I218" s="47"/>
    </row>
    <row r="219">
      <c r="I219" s="47"/>
    </row>
    <row r="220">
      <c r="I220" s="47"/>
    </row>
    <row r="221">
      <c r="I221" s="47"/>
    </row>
    <row r="222">
      <c r="I222" s="47"/>
    </row>
    <row r="223">
      <c r="I223" s="47"/>
    </row>
    <row r="224">
      <c r="I224" s="47"/>
    </row>
    <row r="225">
      <c r="I225" s="47"/>
    </row>
    <row r="226">
      <c r="I226" s="47"/>
    </row>
    <row r="227">
      <c r="I227" s="47"/>
    </row>
    <row r="228">
      <c r="I228" s="47"/>
    </row>
    <row r="229">
      <c r="I229" s="47"/>
    </row>
    <row r="230">
      <c r="I230" s="47"/>
    </row>
    <row r="231">
      <c r="I231" s="47"/>
    </row>
    <row r="232">
      <c r="I232" s="47"/>
    </row>
    <row r="233">
      <c r="I233" s="47"/>
    </row>
    <row r="234">
      <c r="I234" s="47"/>
    </row>
    <row r="235">
      <c r="I235" s="47"/>
    </row>
    <row r="236">
      <c r="I236" s="47"/>
    </row>
    <row r="237">
      <c r="I237" s="47"/>
    </row>
    <row r="238">
      <c r="I238" s="47"/>
    </row>
    <row r="239">
      <c r="I239" s="47"/>
    </row>
    <row r="240">
      <c r="I240" s="47"/>
    </row>
    <row r="241">
      <c r="I241" s="47"/>
    </row>
    <row r="242">
      <c r="I242" s="47"/>
    </row>
    <row r="243">
      <c r="I243" s="47"/>
    </row>
    <row r="244">
      <c r="I244" s="47"/>
    </row>
    <row r="245">
      <c r="I245" s="47"/>
    </row>
    <row r="246">
      <c r="I246" s="47"/>
    </row>
    <row r="247">
      <c r="I247" s="47"/>
    </row>
    <row r="248">
      <c r="I248" s="47"/>
    </row>
    <row r="249">
      <c r="I249" s="47"/>
    </row>
    <row r="250">
      <c r="I250" s="47"/>
    </row>
    <row r="251">
      <c r="I251" s="47"/>
    </row>
    <row r="252">
      <c r="I252" s="47"/>
    </row>
    <row r="253">
      <c r="I253" s="47"/>
    </row>
    <row r="254">
      <c r="I254" s="47"/>
    </row>
    <row r="255">
      <c r="I255" s="47"/>
    </row>
    <row r="256">
      <c r="I256" s="47"/>
    </row>
    <row r="257">
      <c r="I257" s="47"/>
    </row>
    <row r="258">
      <c r="I258" s="47"/>
    </row>
    <row r="259">
      <c r="I259" s="47"/>
    </row>
    <row r="260">
      <c r="I260" s="47"/>
    </row>
    <row r="261">
      <c r="I261" s="47"/>
    </row>
    <row r="262">
      <c r="I262" s="47"/>
    </row>
    <row r="263">
      <c r="I263" s="47"/>
    </row>
    <row r="264">
      <c r="I264" s="47"/>
    </row>
    <row r="265">
      <c r="I265" s="47"/>
    </row>
    <row r="266">
      <c r="I266" s="47"/>
    </row>
    <row r="267">
      <c r="I267" s="47"/>
    </row>
    <row r="268">
      <c r="I268" s="47"/>
    </row>
    <row r="269">
      <c r="I269" s="47"/>
    </row>
    <row r="270">
      <c r="I270" s="47"/>
    </row>
    <row r="271">
      <c r="I271" s="47"/>
    </row>
    <row r="272">
      <c r="I272" s="47"/>
    </row>
    <row r="273">
      <c r="I273" s="47"/>
    </row>
    <row r="274">
      <c r="I274" s="47"/>
    </row>
    <row r="275">
      <c r="I275" s="47"/>
    </row>
    <row r="276">
      <c r="I276" s="47"/>
    </row>
    <row r="277">
      <c r="I277" s="47"/>
    </row>
    <row r="278">
      <c r="I278" s="47"/>
    </row>
    <row r="279">
      <c r="I279" s="47"/>
    </row>
    <row r="280">
      <c r="I280" s="47"/>
    </row>
    <row r="281">
      <c r="I281" s="47"/>
    </row>
    <row r="282">
      <c r="I282" s="47"/>
    </row>
    <row r="283">
      <c r="I283" s="47"/>
    </row>
    <row r="284">
      <c r="I284" s="47"/>
    </row>
    <row r="285">
      <c r="I285" s="47"/>
    </row>
    <row r="286">
      <c r="I286" s="47"/>
    </row>
    <row r="287">
      <c r="I287" s="47"/>
    </row>
    <row r="288">
      <c r="I288" s="47"/>
    </row>
    <row r="289">
      <c r="I289" s="47"/>
    </row>
    <row r="290">
      <c r="I290" s="47"/>
    </row>
    <row r="291">
      <c r="I291" s="47"/>
    </row>
    <row r="292">
      <c r="I292" s="47"/>
    </row>
    <row r="293">
      <c r="I293" s="47"/>
    </row>
    <row r="294">
      <c r="I294" s="47"/>
    </row>
    <row r="295">
      <c r="I295" s="47"/>
    </row>
    <row r="296">
      <c r="I296" s="47"/>
    </row>
    <row r="297">
      <c r="I297" s="47"/>
    </row>
    <row r="298">
      <c r="I298" s="47"/>
    </row>
    <row r="299">
      <c r="I299" s="47"/>
    </row>
    <row r="300">
      <c r="I300" s="47"/>
    </row>
    <row r="301">
      <c r="I301" s="47"/>
    </row>
    <row r="302">
      <c r="I302" s="47"/>
    </row>
    <row r="303">
      <c r="I303" s="47"/>
    </row>
    <row r="304">
      <c r="I304" s="47"/>
    </row>
    <row r="305">
      <c r="I305" s="47"/>
    </row>
    <row r="306">
      <c r="I306" s="47"/>
    </row>
    <row r="307">
      <c r="I307" s="47"/>
    </row>
    <row r="308">
      <c r="I308" s="47"/>
    </row>
    <row r="309">
      <c r="I309" s="47"/>
    </row>
    <row r="310">
      <c r="I310" s="47"/>
    </row>
    <row r="311">
      <c r="I311" s="47"/>
    </row>
    <row r="312">
      <c r="I312" s="47"/>
    </row>
    <row r="313">
      <c r="I313" s="47"/>
    </row>
    <row r="314">
      <c r="I314" s="47"/>
    </row>
    <row r="315">
      <c r="I315" s="47"/>
    </row>
    <row r="316">
      <c r="I316" s="47"/>
    </row>
    <row r="317">
      <c r="I317" s="47"/>
    </row>
    <row r="318">
      <c r="I318" s="47"/>
    </row>
    <row r="319">
      <c r="I319" s="47"/>
    </row>
    <row r="320">
      <c r="I320" s="47"/>
    </row>
    <row r="321">
      <c r="I321" s="47"/>
    </row>
    <row r="322">
      <c r="I322" s="47"/>
    </row>
    <row r="323">
      <c r="I323" s="47"/>
    </row>
    <row r="324">
      <c r="I324" s="47"/>
    </row>
    <row r="325">
      <c r="I325" s="47"/>
    </row>
    <row r="326">
      <c r="I326" s="47"/>
    </row>
    <row r="327">
      <c r="I327" s="47"/>
    </row>
    <row r="328">
      <c r="I328" s="47"/>
    </row>
    <row r="329">
      <c r="I329" s="47"/>
    </row>
    <row r="330">
      <c r="I330" s="47"/>
    </row>
    <row r="331">
      <c r="I331" s="47"/>
    </row>
    <row r="332">
      <c r="I332" s="47"/>
    </row>
    <row r="333">
      <c r="I333" s="47"/>
    </row>
    <row r="334">
      <c r="I334" s="47"/>
    </row>
    <row r="335">
      <c r="I335" s="47"/>
    </row>
    <row r="336">
      <c r="I336" s="47"/>
    </row>
    <row r="337">
      <c r="I337" s="47"/>
    </row>
    <row r="338">
      <c r="I338" s="47"/>
    </row>
    <row r="339">
      <c r="I339" s="47"/>
    </row>
    <row r="340">
      <c r="I340" s="47"/>
    </row>
    <row r="341">
      <c r="I341" s="47"/>
    </row>
    <row r="342">
      <c r="I342" s="47"/>
    </row>
    <row r="343">
      <c r="I343" s="47"/>
    </row>
    <row r="344">
      <c r="I344" s="47"/>
    </row>
    <row r="345">
      <c r="I345" s="47"/>
    </row>
    <row r="346">
      <c r="I346" s="47"/>
    </row>
    <row r="347">
      <c r="I347" s="47"/>
    </row>
    <row r="348">
      <c r="I348" s="47"/>
    </row>
    <row r="349">
      <c r="I349" s="47"/>
    </row>
    <row r="350">
      <c r="I350" s="47"/>
    </row>
    <row r="351">
      <c r="I351" s="47"/>
    </row>
    <row r="352">
      <c r="I352" s="47"/>
    </row>
    <row r="353">
      <c r="I353" s="47"/>
    </row>
    <row r="354">
      <c r="I354" s="47"/>
    </row>
    <row r="355">
      <c r="I355" s="47"/>
    </row>
    <row r="356">
      <c r="I356" s="47"/>
    </row>
    <row r="357">
      <c r="I357" s="47"/>
    </row>
    <row r="358">
      <c r="I358" s="47"/>
    </row>
    <row r="359">
      <c r="I359" s="47"/>
    </row>
    <row r="360">
      <c r="I360" s="47"/>
    </row>
    <row r="361">
      <c r="I361" s="47"/>
    </row>
    <row r="362">
      <c r="I362" s="47"/>
    </row>
    <row r="363">
      <c r="I363" s="47"/>
    </row>
    <row r="364">
      <c r="I364" s="47"/>
    </row>
    <row r="365">
      <c r="I365" s="47"/>
    </row>
    <row r="366">
      <c r="I366" s="47"/>
    </row>
    <row r="367">
      <c r="I367" s="47"/>
    </row>
    <row r="368">
      <c r="I368" s="47"/>
    </row>
    <row r="369">
      <c r="I369" s="47"/>
    </row>
    <row r="370">
      <c r="I370" s="47"/>
    </row>
    <row r="371">
      <c r="I371" s="47"/>
    </row>
    <row r="372">
      <c r="I372" s="47"/>
    </row>
    <row r="373">
      <c r="I373" s="47"/>
    </row>
    <row r="374">
      <c r="I374" s="47"/>
    </row>
    <row r="375">
      <c r="I375" s="47"/>
    </row>
    <row r="376">
      <c r="I376" s="47"/>
    </row>
    <row r="377">
      <c r="I377" s="47"/>
    </row>
    <row r="378">
      <c r="I378" s="47"/>
    </row>
    <row r="379">
      <c r="I379" s="47"/>
    </row>
    <row r="380">
      <c r="I380" s="47"/>
    </row>
    <row r="381">
      <c r="I381" s="47"/>
    </row>
    <row r="382">
      <c r="I382" s="47"/>
    </row>
    <row r="383">
      <c r="I383" s="47"/>
    </row>
    <row r="384">
      <c r="I384" s="47"/>
    </row>
    <row r="385">
      <c r="I385" s="47"/>
    </row>
    <row r="386">
      <c r="I386" s="47"/>
    </row>
    <row r="387">
      <c r="I387" s="47"/>
    </row>
    <row r="388">
      <c r="I388" s="47"/>
    </row>
    <row r="389">
      <c r="I389" s="47"/>
    </row>
    <row r="390">
      <c r="I390" s="47"/>
    </row>
    <row r="391">
      <c r="I391" s="47"/>
    </row>
    <row r="392">
      <c r="I392" s="47"/>
    </row>
    <row r="393">
      <c r="I393" s="47"/>
    </row>
    <row r="394">
      <c r="I394" s="47"/>
    </row>
    <row r="395">
      <c r="I395" s="47"/>
    </row>
    <row r="396">
      <c r="I396" s="47"/>
    </row>
    <row r="397">
      <c r="I397" s="47"/>
    </row>
    <row r="398">
      <c r="I398" s="47"/>
    </row>
    <row r="399">
      <c r="I399" s="47"/>
    </row>
    <row r="400">
      <c r="I400" s="47"/>
    </row>
    <row r="401">
      <c r="I401" s="47"/>
    </row>
    <row r="402">
      <c r="I402" s="47"/>
    </row>
    <row r="403">
      <c r="I403" s="47"/>
    </row>
    <row r="404">
      <c r="I404" s="47"/>
    </row>
    <row r="405">
      <c r="I405" s="47"/>
    </row>
    <row r="406">
      <c r="I406" s="47"/>
    </row>
    <row r="407">
      <c r="I407" s="47"/>
    </row>
    <row r="408">
      <c r="I408" s="47"/>
    </row>
    <row r="409">
      <c r="I409" s="47"/>
    </row>
    <row r="410">
      <c r="I410" s="47"/>
    </row>
    <row r="411">
      <c r="I411" s="47"/>
    </row>
    <row r="412">
      <c r="I412" s="47"/>
    </row>
    <row r="413">
      <c r="I413" s="47"/>
    </row>
    <row r="414">
      <c r="I414" s="47"/>
    </row>
    <row r="415">
      <c r="I415" s="47"/>
    </row>
    <row r="416">
      <c r="I416" s="47"/>
    </row>
    <row r="417">
      <c r="I417" s="47"/>
    </row>
    <row r="418">
      <c r="I418" s="47"/>
    </row>
    <row r="419">
      <c r="I419" s="47"/>
    </row>
    <row r="420">
      <c r="I420" s="47"/>
    </row>
    <row r="421">
      <c r="I421" s="47"/>
    </row>
    <row r="422">
      <c r="I422" s="47"/>
    </row>
    <row r="423">
      <c r="I423" s="47"/>
    </row>
    <row r="424">
      <c r="I424" s="47"/>
    </row>
    <row r="425">
      <c r="I425" s="47"/>
    </row>
    <row r="426">
      <c r="I426" s="47"/>
    </row>
    <row r="427">
      <c r="I427" s="47"/>
    </row>
    <row r="428">
      <c r="I428" s="47"/>
    </row>
    <row r="429">
      <c r="I429" s="47"/>
    </row>
    <row r="430">
      <c r="I430" s="47"/>
    </row>
    <row r="431">
      <c r="I431" s="47"/>
    </row>
    <row r="432">
      <c r="I432" s="47"/>
    </row>
    <row r="433">
      <c r="I433" s="47"/>
    </row>
    <row r="434">
      <c r="I434" s="47"/>
    </row>
    <row r="435">
      <c r="I435" s="47"/>
    </row>
    <row r="436">
      <c r="I436" s="47"/>
    </row>
    <row r="437">
      <c r="I437" s="47"/>
    </row>
    <row r="438">
      <c r="I438" s="47"/>
    </row>
    <row r="439">
      <c r="I439" s="47"/>
    </row>
    <row r="440">
      <c r="I440" s="47"/>
    </row>
    <row r="441">
      <c r="I441" s="47"/>
    </row>
    <row r="442">
      <c r="I442" s="47"/>
    </row>
    <row r="443">
      <c r="I443" s="47"/>
    </row>
    <row r="444">
      <c r="I444" s="47"/>
    </row>
    <row r="445">
      <c r="I445" s="47"/>
    </row>
    <row r="446">
      <c r="I446" s="47"/>
    </row>
    <row r="447">
      <c r="I447" s="47"/>
    </row>
    <row r="448">
      <c r="I448" s="47"/>
    </row>
    <row r="449">
      <c r="I449" s="47"/>
    </row>
    <row r="450">
      <c r="I450" s="47"/>
    </row>
    <row r="451">
      <c r="I451" s="47"/>
    </row>
    <row r="452">
      <c r="I452" s="47"/>
    </row>
    <row r="453">
      <c r="I453" s="47"/>
    </row>
    <row r="454">
      <c r="I454" s="47"/>
    </row>
    <row r="455">
      <c r="I455" s="47"/>
    </row>
    <row r="456">
      <c r="I456" s="47"/>
    </row>
    <row r="457">
      <c r="I457" s="47"/>
    </row>
    <row r="458">
      <c r="I458" s="47"/>
    </row>
    <row r="459">
      <c r="I459" s="47"/>
    </row>
    <row r="460">
      <c r="I460" s="47"/>
    </row>
    <row r="461">
      <c r="I461" s="47"/>
    </row>
    <row r="462">
      <c r="I462" s="47"/>
    </row>
    <row r="463">
      <c r="I463" s="47"/>
    </row>
    <row r="464">
      <c r="I464" s="47"/>
    </row>
    <row r="465">
      <c r="I465" s="47"/>
    </row>
    <row r="466">
      <c r="I466" s="47"/>
    </row>
    <row r="467">
      <c r="I467" s="47"/>
    </row>
    <row r="468">
      <c r="I468" s="47"/>
    </row>
    <row r="469">
      <c r="I469" s="47"/>
    </row>
    <row r="470">
      <c r="I470" s="47"/>
    </row>
    <row r="471">
      <c r="I471" s="47"/>
    </row>
    <row r="472">
      <c r="I472" s="47"/>
    </row>
    <row r="473">
      <c r="I473" s="47"/>
    </row>
    <row r="474">
      <c r="I474" s="47"/>
    </row>
    <row r="475">
      <c r="I475" s="47"/>
    </row>
    <row r="476">
      <c r="I476" s="47"/>
    </row>
    <row r="477">
      <c r="I477" s="47"/>
    </row>
    <row r="478">
      <c r="I478" s="47"/>
    </row>
    <row r="479">
      <c r="I479" s="47"/>
    </row>
    <row r="480">
      <c r="I480" s="47"/>
    </row>
    <row r="481">
      <c r="I481" s="47"/>
    </row>
    <row r="482">
      <c r="I482" s="47"/>
    </row>
    <row r="483">
      <c r="I483" s="47"/>
    </row>
    <row r="484">
      <c r="I484" s="47"/>
    </row>
    <row r="485">
      <c r="I485" s="47"/>
    </row>
    <row r="486">
      <c r="I486" s="47"/>
    </row>
    <row r="487">
      <c r="I487" s="47"/>
    </row>
    <row r="488">
      <c r="I488" s="47"/>
    </row>
    <row r="489">
      <c r="I489" s="47"/>
    </row>
    <row r="490">
      <c r="I490" s="47"/>
    </row>
    <row r="491">
      <c r="I491" s="47"/>
    </row>
    <row r="492">
      <c r="I492" s="47"/>
    </row>
    <row r="493">
      <c r="I493" s="47"/>
    </row>
    <row r="494">
      <c r="I494" s="47"/>
    </row>
    <row r="495">
      <c r="I495" s="47"/>
    </row>
    <row r="496">
      <c r="I496" s="47"/>
    </row>
    <row r="497">
      <c r="I497" s="47"/>
    </row>
    <row r="498">
      <c r="I498" s="47"/>
    </row>
    <row r="499">
      <c r="I499" s="47"/>
    </row>
    <row r="500">
      <c r="I500" s="47"/>
    </row>
    <row r="501">
      <c r="I501" s="47"/>
    </row>
    <row r="502">
      <c r="I502" s="47"/>
    </row>
    <row r="503">
      <c r="I503" s="47"/>
    </row>
    <row r="504">
      <c r="I504" s="47"/>
    </row>
    <row r="505">
      <c r="I505" s="47"/>
    </row>
    <row r="506">
      <c r="I506" s="47"/>
    </row>
    <row r="507">
      <c r="I507" s="47"/>
    </row>
    <row r="508">
      <c r="I508" s="47"/>
    </row>
    <row r="509">
      <c r="I509" s="47"/>
    </row>
    <row r="510">
      <c r="I510" s="47"/>
    </row>
    <row r="511">
      <c r="I511" s="47"/>
    </row>
    <row r="512">
      <c r="I512" s="47"/>
    </row>
    <row r="513">
      <c r="I513" s="47"/>
    </row>
    <row r="514">
      <c r="I514" s="47"/>
    </row>
    <row r="515">
      <c r="I515" s="47"/>
    </row>
    <row r="516">
      <c r="I516" s="47"/>
    </row>
    <row r="517">
      <c r="I517" s="47"/>
    </row>
    <row r="518">
      <c r="I518" s="47"/>
    </row>
    <row r="519">
      <c r="I519" s="47"/>
    </row>
    <row r="520">
      <c r="I520" s="47"/>
    </row>
    <row r="521">
      <c r="I521" s="47"/>
    </row>
    <row r="522">
      <c r="I522" s="47"/>
    </row>
    <row r="523">
      <c r="I523" s="47"/>
    </row>
    <row r="524">
      <c r="I524" s="47"/>
    </row>
    <row r="525">
      <c r="I525" s="47"/>
    </row>
    <row r="526">
      <c r="I526" s="47"/>
    </row>
    <row r="527">
      <c r="I527" s="47"/>
    </row>
    <row r="528">
      <c r="I528" s="47"/>
    </row>
    <row r="529">
      <c r="I529" s="47"/>
    </row>
    <row r="530">
      <c r="I530" s="47"/>
    </row>
    <row r="531">
      <c r="I531" s="47"/>
    </row>
    <row r="532">
      <c r="I532" s="47"/>
    </row>
    <row r="533">
      <c r="I533" s="47"/>
    </row>
    <row r="534">
      <c r="I534" s="47"/>
    </row>
    <row r="535">
      <c r="I535" s="47"/>
    </row>
    <row r="536">
      <c r="I536" s="47"/>
    </row>
    <row r="537">
      <c r="I537" s="47"/>
    </row>
    <row r="538">
      <c r="I538" s="47"/>
    </row>
    <row r="539">
      <c r="I539" s="47"/>
    </row>
    <row r="540">
      <c r="I540" s="47"/>
    </row>
    <row r="541">
      <c r="I541" s="47"/>
    </row>
    <row r="542">
      <c r="I542" s="47"/>
    </row>
    <row r="543">
      <c r="I543" s="47"/>
    </row>
    <row r="544">
      <c r="I544" s="47"/>
    </row>
    <row r="545">
      <c r="I545" s="47"/>
    </row>
    <row r="546">
      <c r="I546" s="47"/>
    </row>
    <row r="547">
      <c r="I547" s="47"/>
    </row>
    <row r="548">
      <c r="I548" s="47"/>
    </row>
    <row r="549">
      <c r="I549" s="47"/>
    </row>
    <row r="550">
      <c r="I550" s="47"/>
    </row>
    <row r="551">
      <c r="I551" s="47"/>
    </row>
    <row r="552">
      <c r="I552" s="47"/>
    </row>
    <row r="553">
      <c r="I553" s="47"/>
    </row>
    <row r="554">
      <c r="I554" s="47"/>
    </row>
    <row r="555">
      <c r="I555" s="47"/>
    </row>
    <row r="556">
      <c r="I556" s="47"/>
    </row>
    <row r="557">
      <c r="I557" s="47"/>
    </row>
    <row r="558">
      <c r="I558" s="47"/>
    </row>
    <row r="559">
      <c r="I559" s="47"/>
    </row>
    <row r="560">
      <c r="I560" s="47"/>
    </row>
    <row r="561">
      <c r="I561" s="47"/>
    </row>
    <row r="562">
      <c r="I562" s="47"/>
    </row>
    <row r="563">
      <c r="I563" s="47"/>
    </row>
    <row r="564">
      <c r="I564" s="47"/>
    </row>
    <row r="565">
      <c r="I565" s="47"/>
    </row>
    <row r="566">
      <c r="I566" s="47"/>
    </row>
    <row r="567">
      <c r="I567" s="47"/>
    </row>
    <row r="568">
      <c r="I568" s="47"/>
    </row>
    <row r="569">
      <c r="I569" s="47"/>
    </row>
    <row r="570">
      <c r="I570" s="47"/>
    </row>
    <row r="571">
      <c r="I571" s="47"/>
    </row>
    <row r="572">
      <c r="I572" s="47"/>
    </row>
    <row r="573">
      <c r="I573" s="47"/>
    </row>
    <row r="574">
      <c r="I574" s="47"/>
    </row>
    <row r="575">
      <c r="I575" s="47"/>
    </row>
    <row r="576">
      <c r="I576" s="47"/>
    </row>
    <row r="577">
      <c r="I577" s="47"/>
    </row>
    <row r="578">
      <c r="I578" s="47"/>
    </row>
    <row r="579">
      <c r="I579" s="47"/>
    </row>
    <row r="580">
      <c r="I580" s="47"/>
    </row>
    <row r="581">
      <c r="I581" s="47"/>
    </row>
    <row r="582">
      <c r="I582" s="47"/>
    </row>
    <row r="583">
      <c r="I583" s="47"/>
    </row>
    <row r="584">
      <c r="I584" s="47"/>
    </row>
    <row r="585">
      <c r="I585" s="47"/>
    </row>
    <row r="586">
      <c r="I586" s="47"/>
    </row>
    <row r="587">
      <c r="I587" s="47"/>
    </row>
    <row r="588">
      <c r="I588" s="47"/>
    </row>
    <row r="589">
      <c r="I589" s="47"/>
    </row>
    <row r="590">
      <c r="I590" s="47"/>
    </row>
    <row r="591">
      <c r="I591" s="47"/>
    </row>
    <row r="592">
      <c r="I592" s="47"/>
    </row>
    <row r="593">
      <c r="I593" s="47"/>
    </row>
    <row r="594">
      <c r="I594" s="47"/>
    </row>
    <row r="595">
      <c r="I595" s="47"/>
    </row>
    <row r="596">
      <c r="I596" s="47"/>
    </row>
    <row r="597">
      <c r="I597" s="47"/>
    </row>
    <row r="598">
      <c r="I598" s="47"/>
    </row>
    <row r="599">
      <c r="I599" s="47"/>
    </row>
    <row r="600">
      <c r="I600" s="47"/>
    </row>
    <row r="601">
      <c r="I601" s="47"/>
    </row>
    <row r="602">
      <c r="I602" s="47"/>
    </row>
    <row r="603">
      <c r="I603" s="47"/>
    </row>
    <row r="604">
      <c r="I604" s="47"/>
    </row>
    <row r="605">
      <c r="I605" s="47"/>
    </row>
    <row r="606">
      <c r="I606" s="47"/>
    </row>
    <row r="607">
      <c r="I607" s="47"/>
    </row>
    <row r="608">
      <c r="I608" s="47"/>
    </row>
    <row r="609">
      <c r="I609" s="47"/>
    </row>
    <row r="610">
      <c r="I610" s="47"/>
    </row>
    <row r="611">
      <c r="I611" s="47"/>
    </row>
    <row r="612">
      <c r="I612" s="47"/>
    </row>
    <row r="613">
      <c r="I613" s="47"/>
    </row>
    <row r="614">
      <c r="I614" s="47"/>
    </row>
    <row r="615">
      <c r="I615" s="47"/>
    </row>
    <row r="616">
      <c r="I616" s="47"/>
    </row>
    <row r="617">
      <c r="I617" s="47"/>
    </row>
    <row r="618">
      <c r="I618" s="47"/>
    </row>
    <row r="619">
      <c r="I619" s="47"/>
    </row>
    <row r="620">
      <c r="I620" s="47"/>
    </row>
    <row r="621">
      <c r="I621" s="47"/>
    </row>
    <row r="622">
      <c r="I622" s="47"/>
    </row>
    <row r="623">
      <c r="I623" s="47"/>
    </row>
    <row r="624">
      <c r="I624" s="47"/>
    </row>
    <row r="625">
      <c r="I625" s="47"/>
    </row>
    <row r="626">
      <c r="I626" s="47"/>
    </row>
    <row r="627">
      <c r="I627" s="47"/>
    </row>
    <row r="628">
      <c r="I628" s="47"/>
    </row>
    <row r="629">
      <c r="I629" s="47"/>
    </row>
    <row r="630">
      <c r="I630" s="47"/>
    </row>
    <row r="631">
      <c r="I631" s="47"/>
    </row>
    <row r="632">
      <c r="I632" s="47"/>
    </row>
    <row r="633">
      <c r="I633" s="47"/>
    </row>
    <row r="634">
      <c r="I634" s="47"/>
    </row>
    <row r="635">
      <c r="I635" s="47"/>
    </row>
    <row r="636">
      <c r="I636" s="47"/>
    </row>
    <row r="637">
      <c r="I637" s="47"/>
    </row>
    <row r="638">
      <c r="I638" s="47"/>
    </row>
    <row r="639">
      <c r="I639" s="47"/>
    </row>
    <row r="640">
      <c r="I640" s="47"/>
    </row>
    <row r="641">
      <c r="I641" s="47"/>
    </row>
    <row r="642">
      <c r="I642" s="47"/>
    </row>
    <row r="643">
      <c r="I643" s="47"/>
    </row>
    <row r="644">
      <c r="I644" s="47"/>
    </row>
    <row r="645">
      <c r="I645" s="47"/>
    </row>
    <row r="646">
      <c r="I646" s="47"/>
    </row>
    <row r="647">
      <c r="I647" s="47"/>
    </row>
    <row r="648">
      <c r="I648" s="47"/>
    </row>
    <row r="649">
      <c r="I649" s="47"/>
    </row>
    <row r="650">
      <c r="I650" s="47"/>
    </row>
    <row r="651">
      <c r="I651" s="47"/>
    </row>
    <row r="652">
      <c r="I652" s="47"/>
    </row>
    <row r="653">
      <c r="I653" s="47"/>
    </row>
    <row r="654">
      <c r="I654" s="47"/>
    </row>
    <row r="655">
      <c r="I655" s="47"/>
    </row>
    <row r="656">
      <c r="I656" s="47"/>
    </row>
    <row r="657">
      <c r="I657" s="47"/>
    </row>
    <row r="658">
      <c r="I658" s="47"/>
    </row>
    <row r="659">
      <c r="I659" s="47"/>
    </row>
    <row r="660">
      <c r="I660" s="47"/>
    </row>
    <row r="661">
      <c r="I661" s="47"/>
    </row>
    <row r="662">
      <c r="I662" s="47"/>
    </row>
    <row r="663">
      <c r="I663" s="47"/>
    </row>
    <row r="664">
      <c r="I664" s="47"/>
    </row>
    <row r="665">
      <c r="I665" s="47"/>
    </row>
    <row r="666">
      <c r="I666" s="47"/>
    </row>
    <row r="667">
      <c r="I667" s="47"/>
    </row>
    <row r="668">
      <c r="I668" s="47"/>
    </row>
    <row r="669">
      <c r="I669" s="47"/>
    </row>
    <row r="670">
      <c r="I670" s="47"/>
    </row>
    <row r="671">
      <c r="I671" s="47"/>
    </row>
    <row r="672">
      <c r="I672" s="47"/>
    </row>
    <row r="673">
      <c r="I673" s="47"/>
    </row>
    <row r="674">
      <c r="I674" s="47"/>
    </row>
    <row r="675">
      <c r="I675" s="47"/>
    </row>
    <row r="676">
      <c r="I676" s="47"/>
    </row>
    <row r="677">
      <c r="I677" s="47"/>
    </row>
    <row r="678">
      <c r="I678" s="47"/>
    </row>
    <row r="679">
      <c r="I679" s="47"/>
    </row>
    <row r="680">
      <c r="I680" s="47"/>
    </row>
    <row r="681">
      <c r="I681" s="47"/>
    </row>
    <row r="682">
      <c r="I682" s="47"/>
    </row>
    <row r="683">
      <c r="I683" s="47"/>
    </row>
    <row r="684">
      <c r="I684" s="47"/>
    </row>
    <row r="685">
      <c r="I685" s="47"/>
    </row>
    <row r="686">
      <c r="I686" s="47"/>
    </row>
    <row r="687">
      <c r="I687" s="47"/>
    </row>
    <row r="688">
      <c r="I688" s="47"/>
    </row>
    <row r="689">
      <c r="I689" s="47"/>
    </row>
    <row r="690">
      <c r="I690" s="47"/>
    </row>
    <row r="691">
      <c r="I691" s="47"/>
    </row>
    <row r="692">
      <c r="I692" s="47"/>
    </row>
    <row r="693">
      <c r="I693" s="47"/>
    </row>
    <row r="694">
      <c r="I694" s="47"/>
    </row>
    <row r="695">
      <c r="I695" s="47"/>
    </row>
    <row r="696">
      <c r="I696" s="47"/>
    </row>
    <row r="697">
      <c r="I697" s="47"/>
    </row>
    <row r="698">
      <c r="I698" s="47"/>
    </row>
    <row r="699">
      <c r="I699" s="47"/>
    </row>
    <row r="700">
      <c r="I700" s="47"/>
    </row>
    <row r="701">
      <c r="I701" s="47"/>
    </row>
    <row r="702">
      <c r="I702" s="47"/>
    </row>
    <row r="703">
      <c r="I703" s="47"/>
    </row>
    <row r="704">
      <c r="I704" s="47"/>
    </row>
    <row r="705">
      <c r="I705" s="47"/>
    </row>
    <row r="706">
      <c r="I706" s="47"/>
    </row>
    <row r="707">
      <c r="I707" s="47"/>
    </row>
    <row r="708">
      <c r="I708" s="47"/>
    </row>
    <row r="709">
      <c r="I709" s="47"/>
    </row>
    <row r="710">
      <c r="I710" s="47"/>
    </row>
    <row r="711">
      <c r="I711" s="47"/>
    </row>
    <row r="712">
      <c r="I712" s="47"/>
    </row>
    <row r="713">
      <c r="I713" s="47"/>
    </row>
    <row r="714">
      <c r="I714" s="47"/>
    </row>
    <row r="715">
      <c r="I715" s="47"/>
    </row>
    <row r="716">
      <c r="I716" s="47"/>
    </row>
    <row r="717">
      <c r="I717" s="47"/>
    </row>
    <row r="718">
      <c r="I718" s="47"/>
    </row>
    <row r="719">
      <c r="I719" s="47"/>
    </row>
    <row r="720">
      <c r="I720" s="47"/>
    </row>
    <row r="721">
      <c r="I721" s="47"/>
    </row>
    <row r="722">
      <c r="I722" s="47"/>
    </row>
    <row r="723">
      <c r="I723" s="47"/>
    </row>
    <row r="724">
      <c r="I724" s="47"/>
    </row>
    <row r="725">
      <c r="I725" s="47"/>
    </row>
    <row r="726">
      <c r="I726" s="47"/>
    </row>
    <row r="727">
      <c r="I727" s="47"/>
    </row>
    <row r="728">
      <c r="I728" s="47"/>
    </row>
    <row r="729">
      <c r="I729" s="47"/>
    </row>
    <row r="730">
      <c r="I730" s="47"/>
    </row>
    <row r="731">
      <c r="I731" s="47"/>
    </row>
    <row r="732">
      <c r="I732" s="47"/>
    </row>
    <row r="733">
      <c r="I733" s="47"/>
    </row>
    <row r="734">
      <c r="I734" s="47"/>
    </row>
    <row r="735">
      <c r="I735" s="47"/>
    </row>
    <row r="736">
      <c r="I736" s="47"/>
    </row>
    <row r="737">
      <c r="I737" s="47"/>
    </row>
    <row r="738">
      <c r="I738" s="47"/>
    </row>
    <row r="739">
      <c r="I739" s="47"/>
    </row>
    <row r="740">
      <c r="I740" s="47"/>
    </row>
    <row r="741">
      <c r="I741" s="47"/>
    </row>
    <row r="742">
      <c r="I742" s="47"/>
    </row>
    <row r="743">
      <c r="I743" s="47"/>
    </row>
    <row r="744">
      <c r="I744" s="47"/>
    </row>
    <row r="745">
      <c r="I745" s="47"/>
    </row>
    <row r="746">
      <c r="I746" s="47"/>
    </row>
    <row r="747">
      <c r="I747" s="47"/>
    </row>
    <row r="748">
      <c r="I748" s="47"/>
    </row>
    <row r="749">
      <c r="I749" s="47"/>
    </row>
    <row r="750">
      <c r="I750" s="47"/>
    </row>
    <row r="751">
      <c r="I751" s="47"/>
    </row>
    <row r="752">
      <c r="I752" s="47"/>
    </row>
    <row r="753">
      <c r="I753" s="47"/>
    </row>
    <row r="754">
      <c r="I754" s="47"/>
    </row>
    <row r="755">
      <c r="I755" s="47"/>
    </row>
    <row r="756">
      <c r="I756" s="47"/>
    </row>
    <row r="757">
      <c r="I757" s="47"/>
    </row>
    <row r="758">
      <c r="I758" s="47"/>
    </row>
    <row r="759">
      <c r="I759" s="47"/>
    </row>
    <row r="760">
      <c r="I760" s="47"/>
    </row>
    <row r="761">
      <c r="I761" s="47"/>
    </row>
    <row r="762">
      <c r="I762" s="47"/>
    </row>
    <row r="763">
      <c r="I763" s="47"/>
    </row>
    <row r="764">
      <c r="I764" s="47"/>
    </row>
    <row r="765">
      <c r="I765" s="47"/>
    </row>
    <row r="766">
      <c r="I766" s="47"/>
    </row>
    <row r="767">
      <c r="I767" s="47"/>
    </row>
    <row r="768">
      <c r="I768" s="47"/>
    </row>
    <row r="769">
      <c r="I769" s="47"/>
    </row>
    <row r="770">
      <c r="I770" s="47"/>
    </row>
    <row r="771">
      <c r="I771" s="47"/>
    </row>
    <row r="772">
      <c r="I772" s="47"/>
    </row>
    <row r="773">
      <c r="I773" s="47"/>
    </row>
    <row r="774">
      <c r="I774" s="47"/>
    </row>
    <row r="775">
      <c r="I775" s="47"/>
    </row>
    <row r="776">
      <c r="I776" s="47"/>
    </row>
    <row r="777">
      <c r="I777" s="47"/>
    </row>
    <row r="778">
      <c r="I778" s="47"/>
    </row>
    <row r="779">
      <c r="I779" s="47"/>
    </row>
    <row r="780">
      <c r="I780" s="47"/>
    </row>
    <row r="781">
      <c r="I781" s="47"/>
    </row>
    <row r="782">
      <c r="I782" s="47"/>
    </row>
    <row r="783">
      <c r="I783" s="47"/>
    </row>
    <row r="784">
      <c r="I784" s="47"/>
    </row>
    <row r="785">
      <c r="I785" s="47"/>
    </row>
    <row r="786">
      <c r="I786" s="47"/>
    </row>
    <row r="787">
      <c r="I787" s="47"/>
    </row>
    <row r="788">
      <c r="I788" s="47"/>
    </row>
    <row r="789">
      <c r="I789" s="47"/>
    </row>
    <row r="790">
      <c r="I790" s="47"/>
    </row>
    <row r="791">
      <c r="I791" s="47"/>
    </row>
    <row r="792">
      <c r="I792" s="47"/>
    </row>
    <row r="793">
      <c r="I793" s="47"/>
    </row>
    <row r="794">
      <c r="I794" s="47"/>
    </row>
    <row r="795">
      <c r="I795" s="47"/>
    </row>
    <row r="796">
      <c r="I796" s="47"/>
    </row>
    <row r="797">
      <c r="I797" s="47"/>
    </row>
    <row r="798">
      <c r="I798" s="47"/>
    </row>
    <row r="799">
      <c r="I799" s="47"/>
    </row>
    <row r="800">
      <c r="I800" s="47"/>
    </row>
    <row r="801">
      <c r="I801" s="47"/>
    </row>
    <row r="802">
      <c r="I802" s="47"/>
    </row>
    <row r="803">
      <c r="I803" s="47"/>
    </row>
    <row r="804">
      <c r="I804" s="47"/>
    </row>
    <row r="805">
      <c r="I805" s="47"/>
    </row>
    <row r="806">
      <c r="I806" s="47"/>
    </row>
    <row r="807">
      <c r="I807" s="47"/>
    </row>
    <row r="808">
      <c r="I808" s="47"/>
    </row>
    <row r="809">
      <c r="I809" s="47"/>
    </row>
    <row r="810">
      <c r="I810" s="47"/>
    </row>
    <row r="811">
      <c r="I811" s="47"/>
    </row>
    <row r="812">
      <c r="I812" s="47"/>
    </row>
    <row r="813">
      <c r="I813" s="47"/>
    </row>
    <row r="814">
      <c r="I814" s="47"/>
    </row>
    <row r="815">
      <c r="I815" s="47"/>
    </row>
    <row r="816">
      <c r="I816" s="47"/>
    </row>
    <row r="817">
      <c r="I817" s="47"/>
    </row>
    <row r="818">
      <c r="I818" s="47"/>
    </row>
    <row r="819">
      <c r="I819" s="47"/>
    </row>
    <row r="820">
      <c r="I820" s="47"/>
    </row>
    <row r="821">
      <c r="I821" s="47"/>
    </row>
    <row r="822">
      <c r="I822" s="47"/>
    </row>
    <row r="823">
      <c r="I823" s="47"/>
    </row>
    <row r="824">
      <c r="I824" s="47"/>
    </row>
    <row r="825">
      <c r="I825" s="47"/>
    </row>
    <row r="826">
      <c r="I826" s="47"/>
    </row>
    <row r="827">
      <c r="I827" s="47"/>
    </row>
    <row r="828">
      <c r="I828" s="47"/>
    </row>
    <row r="829">
      <c r="I829" s="47"/>
    </row>
    <row r="830">
      <c r="I830" s="47"/>
    </row>
    <row r="831">
      <c r="I831" s="47"/>
    </row>
    <row r="832">
      <c r="I832" s="47"/>
    </row>
    <row r="833">
      <c r="I833" s="47"/>
    </row>
    <row r="834">
      <c r="I834" s="47"/>
    </row>
    <row r="835">
      <c r="I835" s="47"/>
    </row>
    <row r="836">
      <c r="I836" s="47"/>
    </row>
    <row r="837">
      <c r="I837" s="47"/>
    </row>
    <row r="838">
      <c r="I838" s="47"/>
    </row>
    <row r="839">
      <c r="I839" s="47"/>
    </row>
    <row r="840">
      <c r="I840" s="47"/>
    </row>
    <row r="841">
      <c r="I841" s="47"/>
    </row>
    <row r="842">
      <c r="I842" s="47"/>
    </row>
    <row r="843">
      <c r="I843" s="47"/>
    </row>
    <row r="844">
      <c r="I844" s="47"/>
    </row>
    <row r="845">
      <c r="I845" s="47"/>
    </row>
    <row r="846">
      <c r="I846" s="47"/>
    </row>
    <row r="847">
      <c r="I847" s="47"/>
    </row>
    <row r="848">
      <c r="I848" s="47"/>
    </row>
    <row r="849">
      <c r="I849" s="47"/>
    </row>
    <row r="850">
      <c r="I850" s="47"/>
    </row>
    <row r="851">
      <c r="I851" s="47"/>
    </row>
    <row r="852">
      <c r="I852" s="47"/>
    </row>
    <row r="853">
      <c r="I853" s="47"/>
    </row>
    <row r="854">
      <c r="I854" s="47"/>
    </row>
    <row r="855">
      <c r="I855" s="47"/>
    </row>
    <row r="856">
      <c r="I856" s="47"/>
    </row>
    <row r="857">
      <c r="I857" s="47"/>
    </row>
    <row r="858">
      <c r="I858" s="47"/>
    </row>
    <row r="859">
      <c r="I859" s="47"/>
    </row>
    <row r="860">
      <c r="I860" s="47"/>
    </row>
    <row r="861">
      <c r="I861" s="47"/>
    </row>
    <row r="862">
      <c r="I862" s="47"/>
    </row>
    <row r="863">
      <c r="I863" s="47"/>
    </row>
    <row r="864">
      <c r="I864" s="47"/>
    </row>
    <row r="865">
      <c r="I865" s="47"/>
    </row>
    <row r="866">
      <c r="I866" s="47"/>
    </row>
    <row r="867">
      <c r="I867" s="47"/>
    </row>
    <row r="868">
      <c r="I868" s="47"/>
    </row>
    <row r="869">
      <c r="I869" s="47"/>
    </row>
    <row r="870">
      <c r="I870" s="47"/>
    </row>
    <row r="871">
      <c r="I871" s="47"/>
    </row>
    <row r="872">
      <c r="I872" s="47"/>
    </row>
    <row r="873">
      <c r="I873" s="47"/>
    </row>
    <row r="874">
      <c r="I874" s="47"/>
    </row>
    <row r="875">
      <c r="I875" s="47"/>
    </row>
    <row r="876">
      <c r="I876" s="47"/>
    </row>
    <row r="877">
      <c r="I877" s="47"/>
    </row>
    <row r="878">
      <c r="I878" s="47"/>
    </row>
    <row r="879">
      <c r="I879" s="47"/>
    </row>
    <row r="880">
      <c r="I880" s="47"/>
    </row>
    <row r="881">
      <c r="I881" s="47"/>
    </row>
    <row r="882">
      <c r="I882" s="47"/>
    </row>
    <row r="883">
      <c r="I883" s="47"/>
    </row>
    <row r="884">
      <c r="I884" s="47"/>
    </row>
    <row r="885">
      <c r="I885" s="47"/>
    </row>
    <row r="886">
      <c r="I886" s="47"/>
    </row>
    <row r="887">
      <c r="I887" s="47"/>
    </row>
    <row r="888">
      <c r="I888" s="47"/>
    </row>
    <row r="889">
      <c r="I889" s="47"/>
    </row>
    <row r="890">
      <c r="I890" s="47"/>
    </row>
    <row r="891">
      <c r="I891" s="47"/>
    </row>
    <row r="892">
      <c r="I892" s="47"/>
    </row>
    <row r="893">
      <c r="I893" s="47"/>
    </row>
    <row r="894">
      <c r="I894" s="47"/>
    </row>
    <row r="895">
      <c r="I895" s="47"/>
    </row>
    <row r="896">
      <c r="I896" s="47"/>
    </row>
    <row r="897">
      <c r="I897" s="47"/>
    </row>
    <row r="898">
      <c r="I898" s="47"/>
    </row>
    <row r="899">
      <c r="I899" s="47"/>
    </row>
    <row r="900">
      <c r="I900" s="47"/>
    </row>
    <row r="901">
      <c r="I901" s="47"/>
    </row>
    <row r="902">
      <c r="I902" s="47"/>
    </row>
    <row r="903">
      <c r="I903" s="47"/>
    </row>
    <row r="904">
      <c r="I904" s="47"/>
    </row>
    <row r="905">
      <c r="I905" s="47"/>
    </row>
    <row r="906">
      <c r="I906" s="47"/>
    </row>
    <row r="907">
      <c r="I907" s="47"/>
    </row>
    <row r="908">
      <c r="I908" s="47"/>
    </row>
    <row r="909">
      <c r="I909" s="47"/>
    </row>
    <row r="910">
      <c r="I910" s="47"/>
    </row>
    <row r="911">
      <c r="I911" s="47"/>
    </row>
    <row r="912">
      <c r="I912" s="47"/>
    </row>
    <row r="913">
      <c r="I913" s="47"/>
    </row>
    <row r="914">
      <c r="I914" s="47"/>
    </row>
    <row r="915">
      <c r="I915" s="47"/>
    </row>
    <row r="916">
      <c r="I916" s="47"/>
    </row>
    <row r="917">
      <c r="I917" s="47"/>
    </row>
    <row r="918">
      <c r="I918" s="47"/>
    </row>
    <row r="919">
      <c r="I919" s="47"/>
    </row>
    <row r="920">
      <c r="I920" s="47"/>
    </row>
    <row r="921">
      <c r="I921" s="47"/>
    </row>
    <row r="922">
      <c r="I922" s="47"/>
    </row>
    <row r="923">
      <c r="I923" s="47"/>
    </row>
    <row r="924">
      <c r="I924" s="47"/>
    </row>
    <row r="925">
      <c r="I925" s="47"/>
    </row>
    <row r="926">
      <c r="I926" s="47"/>
    </row>
    <row r="927">
      <c r="I927" s="47"/>
    </row>
    <row r="928">
      <c r="I928" s="47"/>
    </row>
    <row r="929">
      <c r="I929" s="47"/>
    </row>
    <row r="930">
      <c r="I930" s="47"/>
    </row>
    <row r="931">
      <c r="I931" s="47"/>
    </row>
    <row r="932">
      <c r="I932" s="47"/>
    </row>
    <row r="933">
      <c r="I933" s="47"/>
    </row>
    <row r="934">
      <c r="I934" s="47"/>
    </row>
    <row r="935">
      <c r="I935" s="47"/>
    </row>
    <row r="936">
      <c r="I936" s="47"/>
    </row>
    <row r="937">
      <c r="I937" s="47"/>
    </row>
    <row r="938">
      <c r="I938" s="47"/>
    </row>
    <row r="939">
      <c r="I939" s="47"/>
    </row>
    <row r="940">
      <c r="I940" s="47"/>
    </row>
    <row r="941">
      <c r="I941" s="47"/>
    </row>
    <row r="942">
      <c r="I942" s="47"/>
    </row>
    <row r="943">
      <c r="I943" s="47"/>
    </row>
    <row r="944">
      <c r="I944" s="47"/>
    </row>
    <row r="945">
      <c r="I945" s="47"/>
    </row>
    <row r="946">
      <c r="I946" s="47"/>
    </row>
    <row r="947">
      <c r="I947" s="47"/>
    </row>
    <row r="948">
      <c r="I948" s="47"/>
    </row>
    <row r="949">
      <c r="I949" s="47"/>
    </row>
    <row r="950">
      <c r="I950" s="47"/>
    </row>
    <row r="951">
      <c r="I951" s="47"/>
    </row>
    <row r="952">
      <c r="I952" s="47"/>
    </row>
    <row r="953">
      <c r="I953" s="47"/>
    </row>
    <row r="954">
      <c r="I954" s="47"/>
    </row>
    <row r="955">
      <c r="I955" s="47"/>
    </row>
    <row r="956">
      <c r="I956" s="47"/>
    </row>
    <row r="957">
      <c r="I957" s="47"/>
    </row>
    <row r="958">
      <c r="I958" s="47"/>
    </row>
    <row r="959">
      <c r="I959" s="47"/>
    </row>
    <row r="960">
      <c r="I960" s="47"/>
    </row>
    <row r="961">
      <c r="I961" s="47"/>
    </row>
    <row r="962">
      <c r="I962" s="47"/>
    </row>
    <row r="963">
      <c r="I963" s="47"/>
    </row>
    <row r="964">
      <c r="I964" s="47"/>
    </row>
    <row r="965">
      <c r="I965" s="47"/>
    </row>
    <row r="966">
      <c r="I966" s="47"/>
    </row>
    <row r="967">
      <c r="I967" s="47"/>
    </row>
    <row r="968">
      <c r="I968" s="47"/>
    </row>
    <row r="969">
      <c r="I969" s="47"/>
    </row>
    <row r="970">
      <c r="I970" s="47"/>
    </row>
    <row r="971">
      <c r="I971" s="47"/>
    </row>
    <row r="972">
      <c r="I972" s="47"/>
    </row>
    <row r="973">
      <c r="I973" s="47"/>
    </row>
    <row r="974">
      <c r="I974" s="47"/>
    </row>
    <row r="975">
      <c r="I975" s="47"/>
    </row>
    <row r="976">
      <c r="I976" s="47"/>
    </row>
    <row r="977">
      <c r="I977" s="47"/>
    </row>
    <row r="978">
      <c r="I978" s="47"/>
    </row>
    <row r="979">
      <c r="I979" s="47"/>
    </row>
    <row r="980">
      <c r="I980" s="47"/>
    </row>
    <row r="981">
      <c r="I981" s="47"/>
    </row>
    <row r="982">
      <c r="I982" s="47"/>
    </row>
    <row r="983">
      <c r="I983" s="47"/>
    </row>
    <row r="984">
      <c r="I984" s="47"/>
    </row>
    <row r="985">
      <c r="I985" s="47"/>
    </row>
    <row r="986">
      <c r="I986" s="47"/>
    </row>
    <row r="987">
      <c r="I987" s="47"/>
    </row>
    <row r="988">
      <c r="I988" s="47"/>
    </row>
    <row r="989">
      <c r="I989" s="47"/>
    </row>
    <row r="990">
      <c r="I990" s="47"/>
    </row>
    <row r="991">
      <c r="I991" s="47"/>
    </row>
    <row r="992">
      <c r="I992" s="47"/>
    </row>
    <row r="993">
      <c r="I993" s="47"/>
    </row>
    <row r="994">
      <c r="I994" s="47"/>
    </row>
    <row r="995">
      <c r="I995" s="47"/>
    </row>
    <row r="996">
      <c r="I996" s="47"/>
    </row>
    <row r="997">
      <c r="I997" s="47"/>
    </row>
    <row r="998">
      <c r="I998" s="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8.75"/>
  </cols>
  <sheetData>
    <row r="1">
      <c r="A1" s="42" t="s">
        <v>989</v>
      </c>
      <c r="B1" s="42" t="s">
        <v>990</v>
      </c>
      <c r="C1" s="45"/>
      <c r="D1" s="45"/>
      <c r="E1" s="45"/>
      <c r="F1" s="45"/>
      <c r="G1" s="45"/>
      <c r="H1" s="45"/>
      <c r="I1" s="45"/>
      <c r="J1" s="45"/>
      <c r="K1" s="45"/>
      <c r="L1" s="45"/>
      <c r="M1" s="45"/>
      <c r="N1" s="45"/>
      <c r="O1" s="45"/>
      <c r="P1" s="45"/>
      <c r="Q1" s="45"/>
      <c r="R1" s="45"/>
      <c r="S1" s="45"/>
      <c r="T1" s="45"/>
      <c r="U1" s="45"/>
      <c r="V1" s="45"/>
      <c r="W1" s="45"/>
      <c r="X1" s="45"/>
      <c r="Y1" s="45"/>
      <c r="Z1" s="45"/>
    </row>
    <row r="2">
      <c r="A2" s="18" t="s">
        <v>841</v>
      </c>
      <c r="B2" s="18" t="s">
        <v>162</v>
      </c>
    </row>
    <row r="3">
      <c r="A3" s="18" t="s">
        <v>414</v>
      </c>
      <c r="B3" s="18" t="s">
        <v>689</v>
      </c>
    </row>
    <row r="4">
      <c r="A4" s="18" t="s">
        <v>890</v>
      </c>
      <c r="B4" s="18" t="s">
        <v>991</v>
      </c>
    </row>
    <row r="5">
      <c r="A5" s="18" t="s">
        <v>256</v>
      </c>
      <c r="B5" s="18" t="s">
        <v>802</v>
      </c>
    </row>
    <row r="6">
      <c r="A6" s="18" t="s">
        <v>922</v>
      </c>
      <c r="B6" s="18" t="s">
        <v>691</v>
      </c>
    </row>
    <row r="7">
      <c r="A7" s="18" t="s">
        <v>888</v>
      </c>
      <c r="B7" s="18" t="s">
        <v>992</v>
      </c>
    </row>
    <row r="8">
      <c r="A8" s="18" t="s">
        <v>201</v>
      </c>
      <c r="B8" s="18" t="s">
        <v>809</v>
      </c>
    </row>
    <row r="9">
      <c r="A9" s="18" t="s">
        <v>887</v>
      </c>
      <c r="B9" s="18" t="s">
        <v>993</v>
      </c>
    </row>
    <row r="10">
      <c r="A10" s="18" t="s">
        <v>524</v>
      </c>
      <c r="B10" s="18" t="s">
        <v>131</v>
      </c>
    </row>
    <row r="11">
      <c r="A11" s="18" t="s">
        <v>923</v>
      </c>
      <c r="B11" s="18" t="s">
        <v>994</v>
      </c>
    </row>
    <row r="12">
      <c r="A12" s="18" t="s">
        <v>718</v>
      </c>
      <c r="B12" s="18" t="s">
        <v>995</v>
      </c>
    </row>
    <row r="13">
      <c r="A13" s="18" t="s">
        <v>529</v>
      </c>
      <c r="B13" s="18" t="s">
        <v>170</v>
      </c>
    </row>
    <row r="14">
      <c r="A14" s="18" t="s">
        <v>926</v>
      </c>
      <c r="B14" s="18" t="s">
        <v>996</v>
      </c>
    </row>
    <row r="15">
      <c r="A15" s="18" t="s">
        <v>822</v>
      </c>
      <c r="B15" s="18" t="s">
        <v>997</v>
      </c>
    </row>
    <row r="16">
      <c r="A16" s="18" t="s">
        <v>744</v>
      </c>
      <c r="B16" s="18" t="s">
        <v>743</v>
      </c>
    </row>
    <row r="17">
      <c r="A17" s="18" t="s">
        <v>708</v>
      </c>
      <c r="B17" s="18" t="s">
        <v>707</v>
      </c>
    </row>
    <row r="18">
      <c r="A18" s="18" t="s">
        <v>232</v>
      </c>
      <c r="B18" s="18" t="s">
        <v>998</v>
      </c>
    </row>
    <row r="19">
      <c r="A19" s="18" t="s">
        <v>225</v>
      </c>
      <c r="B19" s="18" t="s">
        <v>827</v>
      </c>
    </row>
    <row r="20">
      <c r="A20" s="18" t="s">
        <v>875</v>
      </c>
      <c r="B20" s="18" t="s">
        <v>999</v>
      </c>
    </row>
    <row r="21">
      <c r="A21" s="18" t="s">
        <v>930</v>
      </c>
      <c r="B21" s="18" t="s">
        <v>1000</v>
      </c>
    </row>
    <row r="22">
      <c r="A22" s="18" t="s">
        <v>417</v>
      </c>
      <c r="B22" s="18" t="s">
        <v>783</v>
      </c>
    </row>
    <row r="23">
      <c r="A23" s="18" t="s">
        <v>444</v>
      </c>
      <c r="B23" s="18" t="s">
        <v>1001</v>
      </c>
    </row>
    <row r="24">
      <c r="A24" s="18" t="s">
        <v>856</v>
      </c>
      <c r="B24" s="18" t="s">
        <v>1002</v>
      </c>
    </row>
    <row r="25">
      <c r="A25" s="18" t="s">
        <v>430</v>
      </c>
      <c r="B25" s="18" t="s">
        <v>1003</v>
      </c>
    </row>
    <row r="26">
      <c r="A26" s="18" t="s">
        <v>773</v>
      </c>
      <c r="B26" s="18" t="s">
        <v>772</v>
      </c>
    </row>
    <row r="27">
      <c r="A27" s="18" t="s">
        <v>247</v>
      </c>
      <c r="B27" s="18" t="s">
        <v>1004</v>
      </c>
    </row>
    <row r="28">
      <c r="A28" s="18" t="s">
        <v>454</v>
      </c>
      <c r="B28" s="18" t="s">
        <v>1005</v>
      </c>
    </row>
    <row r="29">
      <c r="A29" s="18" t="s">
        <v>545</v>
      </c>
      <c r="B29" s="18" t="s">
        <v>1006</v>
      </c>
    </row>
    <row r="30">
      <c r="A30" s="18" t="s">
        <v>633</v>
      </c>
      <c r="B30" s="18" t="s">
        <v>632</v>
      </c>
    </row>
    <row r="31">
      <c r="A31" s="18" t="s">
        <v>274</v>
      </c>
      <c r="B31" s="18" t="s">
        <v>1007</v>
      </c>
    </row>
    <row r="32">
      <c r="A32" s="18" t="s">
        <v>931</v>
      </c>
      <c r="B32" s="18" t="s">
        <v>1008</v>
      </c>
    </row>
    <row r="33">
      <c r="A33" s="18" t="s">
        <v>920</v>
      </c>
      <c r="B33" s="18" t="s">
        <v>1009</v>
      </c>
    </row>
    <row r="34">
      <c r="A34" s="18" t="s">
        <v>857</v>
      </c>
      <c r="B34" s="18" t="s">
        <v>1010</v>
      </c>
    </row>
    <row r="35">
      <c r="A35" s="18" t="s">
        <v>932</v>
      </c>
      <c r="B35" s="18" t="s">
        <v>1011</v>
      </c>
    </row>
    <row r="36">
      <c r="A36" s="18" t="s">
        <v>423</v>
      </c>
      <c r="B36" s="18" t="s">
        <v>1012</v>
      </c>
    </row>
    <row r="37">
      <c r="A37" s="18" t="s">
        <v>933</v>
      </c>
      <c r="B37" s="18" t="s">
        <v>794</v>
      </c>
    </row>
    <row r="38">
      <c r="A38" s="18" t="s">
        <v>354</v>
      </c>
      <c r="B38" s="18" t="s">
        <v>1013</v>
      </c>
    </row>
    <row r="39">
      <c r="A39" s="18" t="s">
        <v>686</v>
      </c>
      <c r="B39" s="18" t="s">
        <v>685</v>
      </c>
    </row>
    <row r="40">
      <c r="A40" s="18" t="s">
        <v>315</v>
      </c>
    </row>
    <row r="41">
      <c r="A41" s="18" t="s">
        <v>657</v>
      </c>
    </row>
    <row r="42">
      <c r="A42" s="18" t="s">
        <v>312</v>
      </c>
    </row>
    <row r="43">
      <c r="A43" s="18" t="s">
        <v>901</v>
      </c>
    </row>
    <row r="44">
      <c r="A44" s="18" t="s">
        <v>902</v>
      </c>
    </row>
    <row r="45">
      <c r="A45" s="18" t="s">
        <v>498</v>
      </c>
    </row>
    <row r="46">
      <c r="A46" s="18" t="s">
        <v>586</v>
      </c>
    </row>
    <row r="47">
      <c r="A47" s="18" t="s">
        <v>464</v>
      </c>
    </row>
    <row r="48">
      <c r="A48" s="18" t="s">
        <v>435</v>
      </c>
    </row>
    <row r="49">
      <c r="A49" s="18" t="s">
        <v>866</v>
      </c>
    </row>
    <row r="50">
      <c r="A50" s="18" t="s">
        <v>236</v>
      </c>
    </row>
    <row r="51">
      <c r="A51" s="18" t="s">
        <v>642</v>
      </c>
    </row>
    <row r="52">
      <c r="A52" s="18" t="s">
        <v>379</v>
      </c>
    </row>
    <row r="53">
      <c r="A53" s="18" t="s">
        <v>904</v>
      </c>
    </row>
    <row r="54">
      <c r="A54" s="18" t="s">
        <v>227</v>
      </c>
    </row>
    <row r="55">
      <c r="A55" s="18" t="s">
        <v>905</v>
      </c>
    </row>
    <row r="56">
      <c r="A56" s="18" t="s">
        <v>906</v>
      </c>
    </row>
    <row r="57">
      <c r="A57" s="18" t="s">
        <v>907</v>
      </c>
    </row>
    <row r="58">
      <c r="A58" s="18" t="s">
        <v>908</v>
      </c>
    </row>
    <row r="59">
      <c r="A59" s="18" t="s">
        <v>909</v>
      </c>
    </row>
    <row r="60">
      <c r="A60" s="18" t="s">
        <v>911</v>
      </c>
    </row>
    <row r="61">
      <c r="A61" s="18" t="s">
        <v>532</v>
      </c>
    </row>
    <row r="62">
      <c r="A62" s="18" t="s">
        <v>912</v>
      </c>
    </row>
    <row r="63">
      <c r="A63" s="18" t="s">
        <v>391</v>
      </c>
    </row>
    <row r="64">
      <c r="A64" s="18" t="s">
        <v>913</v>
      </c>
    </row>
    <row r="65">
      <c r="A65" s="18" t="s">
        <v>914</v>
      </c>
    </row>
    <row r="66">
      <c r="A66" s="18" t="s">
        <v>239</v>
      </c>
    </row>
    <row r="67">
      <c r="A67" s="18" t="s">
        <v>731</v>
      </c>
    </row>
    <row r="68">
      <c r="A68" s="18" t="s">
        <v>537</v>
      </c>
    </row>
    <row r="69">
      <c r="A69" s="18" t="s">
        <v>876</v>
      </c>
    </row>
    <row r="70">
      <c r="A70" s="18" t="s">
        <v>915</v>
      </c>
    </row>
    <row r="71">
      <c r="A71" s="18" t="s">
        <v>627</v>
      </c>
    </row>
    <row r="72">
      <c r="A72" s="18" t="s">
        <v>916</v>
      </c>
    </row>
    <row r="73">
      <c r="A73" s="18" t="s">
        <v>630</v>
      </c>
    </row>
    <row r="74">
      <c r="A74" s="18" t="s">
        <v>883</v>
      </c>
    </row>
    <row r="75">
      <c r="A75" s="18" t="s">
        <v>917</v>
      </c>
    </row>
    <row r="76">
      <c r="A76" s="18" t="s">
        <v>918</v>
      </c>
    </row>
    <row r="77">
      <c r="A77" s="18" t="s">
        <v>399</v>
      </c>
    </row>
    <row r="78">
      <c r="A78" s="18" t="s">
        <v>538</v>
      </c>
    </row>
    <row r="79">
      <c r="A79" s="18" t="s">
        <v>1014</v>
      </c>
    </row>
    <row r="80">
      <c r="A80" s="18" t="s">
        <v>747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s>
  <sheetData>
    <row r="1">
      <c r="A1" s="42" t="s">
        <v>36</v>
      </c>
      <c r="B1" s="42" t="s">
        <v>37</v>
      </c>
      <c r="C1" s="45"/>
      <c r="D1" s="45"/>
      <c r="E1" s="45"/>
      <c r="F1" s="45"/>
      <c r="G1" s="45"/>
      <c r="H1" s="45"/>
      <c r="I1" s="45"/>
      <c r="J1" s="45"/>
      <c r="K1" s="45"/>
      <c r="L1" s="45"/>
      <c r="M1" s="45"/>
      <c r="N1" s="45"/>
      <c r="O1" s="45"/>
      <c r="P1" s="45"/>
      <c r="Q1" s="45"/>
      <c r="R1" s="45"/>
      <c r="S1" s="45"/>
      <c r="T1" s="45"/>
      <c r="U1" s="45"/>
      <c r="V1" s="45"/>
      <c r="W1" s="45"/>
      <c r="X1" s="45"/>
      <c r="Y1" s="45"/>
      <c r="Z1" s="45"/>
    </row>
    <row r="2">
      <c r="A2" s="18" t="s">
        <v>28</v>
      </c>
      <c r="B2" s="18" t="s">
        <v>1015</v>
      </c>
    </row>
    <row r="3">
      <c r="A3" s="18" t="s">
        <v>26</v>
      </c>
      <c r="B3" s="18" t="s">
        <v>1016</v>
      </c>
    </row>
    <row r="4">
      <c r="A4" s="18" t="s">
        <v>20</v>
      </c>
      <c r="B4" s="18" t="s">
        <v>1017</v>
      </c>
    </row>
    <row r="5">
      <c r="A5" s="18" t="s">
        <v>24</v>
      </c>
      <c r="B5" s="18" t="s">
        <v>1018</v>
      </c>
    </row>
    <row r="6">
      <c r="A6" s="18" t="s">
        <v>18</v>
      </c>
      <c r="B6" s="18" t="s">
        <v>1019</v>
      </c>
    </row>
    <row r="7">
      <c r="A7" s="18" t="s">
        <v>22</v>
      </c>
      <c r="B7" s="18" t="s">
        <v>1020</v>
      </c>
    </row>
    <row r="8">
      <c r="A8" s="18" t="s">
        <v>29</v>
      </c>
      <c r="B8" s="18" t="s">
        <v>1021</v>
      </c>
    </row>
    <row r="9">
      <c r="A9" s="18" t="s">
        <v>65</v>
      </c>
      <c r="B9" s="18" t="s">
        <v>1022</v>
      </c>
    </row>
    <row r="10">
      <c r="A10" s="18" t="s">
        <v>7</v>
      </c>
      <c r="B10" s="18" t="s">
        <v>1023</v>
      </c>
    </row>
    <row r="11">
      <c r="A11" s="18" t="s">
        <v>45</v>
      </c>
      <c r="B11" s="18" t="s">
        <v>1024</v>
      </c>
    </row>
    <row r="12">
      <c r="A12" s="18" t="s">
        <v>16</v>
      </c>
      <c r="B12" s="18" t="s">
        <v>1025</v>
      </c>
    </row>
    <row r="13">
      <c r="A13" s="18" t="s">
        <v>34</v>
      </c>
      <c r="B13" s="18" t="s">
        <v>1026</v>
      </c>
    </row>
    <row r="14">
      <c r="A14" s="18" t="s">
        <v>11</v>
      </c>
      <c r="B14" s="18" t="s">
        <v>1027</v>
      </c>
    </row>
    <row r="15">
      <c r="A15" s="18" t="s">
        <v>9</v>
      </c>
      <c r="B15" s="18" t="s">
        <v>1028</v>
      </c>
    </row>
    <row r="16">
      <c r="A16" s="18" t="s">
        <v>31</v>
      </c>
      <c r="B16" s="18" t="s">
        <v>1029</v>
      </c>
    </row>
    <row r="17">
      <c r="A17" s="18" t="s">
        <v>14</v>
      </c>
      <c r="B17" s="18" t="s">
        <v>1030</v>
      </c>
    </row>
  </sheetData>
  <drawing r:id="rId1"/>
</worksheet>
</file>